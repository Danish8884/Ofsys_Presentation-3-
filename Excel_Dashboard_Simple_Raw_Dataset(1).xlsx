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hidePivotFieldList="1" defaultThemeVersion="124226"/>
  <mc:AlternateContent xmlns:mc="http://schemas.openxmlformats.org/markup-compatibility/2006">
    <mc:Choice Requires="x15">
      <x15ac:absPath xmlns:x15ac="http://schemas.microsoft.com/office/spreadsheetml/2010/11/ac" url="https://d.docs.live.net/FAD2FF72E55F0AA8/Documents/Document/"/>
    </mc:Choice>
  </mc:AlternateContent>
  <xr:revisionPtr revIDLastSave="0" documentId="8_{27E58E58-8C94-4CA4-ADAF-96B7DCAE06C4}" xr6:coauthVersionLast="47" xr6:coauthVersionMax="47" xr10:uidLastSave="{00000000-0000-0000-0000-000000000000}"/>
  <bookViews>
    <workbookView xWindow="-110" yWindow="-110" windowWidth="19420" windowHeight="10300" activeTab="4" xr2:uid="{00000000-000D-0000-FFFF-FFFF00000000}"/>
  </bookViews>
  <sheets>
    <sheet name="KPI" sheetId="9" r:id="rId1"/>
    <sheet name="Row Data" sheetId="1" r:id="rId2"/>
    <sheet name="Clean Data" sheetId="2" r:id="rId3"/>
    <sheet name="Pivot Table" sheetId="3" r:id="rId4"/>
    <sheet name="Dashboard" sheetId="10" r:id="rId5"/>
  </sheets>
  <definedNames>
    <definedName name="_xlnm._FilterDatabase" localSheetId="2" hidden="1">'Clean Data'!$J$3:$J$83</definedName>
    <definedName name="Slicer_Category">#N/A</definedName>
    <definedName name="Slicer_Month">#N/A</definedName>
    <definedName name="Slicer_Payment_Mode">#N/A</definedName>
    <definedName name="Slicer_Product">#N/A</definedName>
    <definedName name="Slicer_Region">#N/A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9" l="1"/>
  <c r="D34" i="3"/>
  <c r="K6" i="9"/>
  <c r="I6" i="9"/>
  <c r="G6" i="9"/>
  <c r="E6" i="9"/>
  <c r="C6" i="9"/>
  <c r="A6" i="9"/>
</calcChain>
</file>

<file path=xl/sharedStrings.xml><?xml version="1.0" encoding="utf-8"?>
<sst xmlns="http://schemas.openxmlformats.org/spreadsheetml/2006/main" count="1147" uniqueCount="213">
  <si>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</si>
  <si>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</si>
  <si>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</si>
  <si>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</si>
  <si>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</si>
  <si>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</si>
  <si>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</si>
  <si>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</si>
  <si>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</si>
  <si>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</si>
  <si>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</si>
  <si>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</si>
  <si>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</si>
  <si>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</si>
  <si>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</si>
  <si>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</si>
  <si>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</si>
  <si>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</si>
  <si>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</si>
  <si>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</si>
  <si>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</si>
  <si>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</si>
  <si>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</si>
  <si>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</si>
  <si>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</si>
  <si>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</si>
  <si>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</si>
  <si>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</si>
  <si>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</si>
  <si>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</si>
  <si>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</si>
  <si>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</si>
  <si>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</si>
  <si>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</si>
  <si>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</si>
  <si>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</si>
  <si>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</si>
  <si>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</si>
  <si>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</si>
  <si>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</si>
  <si>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</si>
  <si>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</si>
  <si>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</si>
  <si>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</si>
  <si>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</si>
  <si>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</si>
  <si>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</si>
  <si>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</si>
  <si>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</si>
  <si>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</si>
  <si>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</si>
  <si>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</si>
  <si>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</si>
  <si>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</si>
  <si>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</si>
  <si>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</si>
  <si>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</si>
  <si>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</si>
  <si>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</si>
  <si>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</si>
  <si>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</si>
  <si>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</si>
  <si>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</si>
  <si>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</si>
  <si>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</si>
  <si>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</si>
  <si>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</si>
  <si>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</si>
  <si>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</si>
  <si>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</si>
  <si>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</si>
  <si>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</si>
  <si>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</si>
  <si>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</si>
  <si>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</si>
  <si>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</si>
  <si>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</si>
  <si>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</si>
  <si>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</si>
  <si>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</si>
  <si>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</si>
  <si>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</si>
  <si>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</si>
  <si>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</si>
  <si>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</si>
  <si>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</si>
  <si>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</si>
  <si>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</si>
  <si>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</si>
  <si>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</si>
  <si>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</si>
  <si>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</si>
  <si>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</si>
  <si>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</si>
  <si>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</si>
  <si>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</si>
  <si>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</si>
  <si>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</si>
  <si>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</si>
  <si>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</si>
  <si>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</si>
  <si>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</si>
  <si>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</si>
  <si>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</si>
  <si>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</si>
  <si>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</si>
  <si>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</si>
  <si>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</si>
  <si>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 xml:space="preserve">  C1016 </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</si>
  <si>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</si>
  <si>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</si>
  <si>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</si>
  <si>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</si>
  <si>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</si>
  <si>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</si>
  <si>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</si>
  <si>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</si>
  <si>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</si>
  <si>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</si>
  <si>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</si>
  <si>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</si>
  <si>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</si>
  <si>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</si>
  <si>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</si>
  <si>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</si>
  <si>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</si>
  <si>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</si>
  <si>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</si>
  <si>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</si>
  <si>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</si>
  <si>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</si>
  <si>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</si>
  <si>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</si>
  <si>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</si>
  <si>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</si>
  <si>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</si>
  <si>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</si>
  <si>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</si>
  <si>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</si>
  <si>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</si>
  <si>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</si>
  <si>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</si>
  <si>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</si>
  <si>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</si>
  <si>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</si>
  <si>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</si>
  <si>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</si>
  <si>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</si>
  <si>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</si>
  <si>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</si>
  <si>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</si>
  <si>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</si>
  <si>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</si>
  <si>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</si>
  <si>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</si>
  <si>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</si>
  <si>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</si>
  <si>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</si>
  <si>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</si>
  <si>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</si>
  <si>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</si>
  <si>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</si>
  <si>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</si>
  <si>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</si>
  <si>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</si>
  <si>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</si>
  <si>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</si>
  <si>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</si>
  <si>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</si>
  <si>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</si>
  <si>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</si>
  <si>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</si>
  <si>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</si>
  <si>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</si>
  <si>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</si>
  <si>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</si>
  <si>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</si>
  <si>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</si>
  <si>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</si>
  <si>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</si>
  <si>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</si>
  <si>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 xml:space="preserve"> south </t>
  </si>
  <si>
    <t>East</t>
  </si>
  <si>
    <t>West</t>
  </si>
  <si>
    <t>South</t>
  </si>
  <si>
    <t>Cash</t>
  </si>
  <si>
    <t>UPI</t>
  </si>
  <si>
    <t>Net Banking</t>
  </si>
  <si>
    <t>upi</t>
  </si>
  <si>
    <t>Card</t>
  </si>
  <si>
    <t xml:space="preserve">Card </t>
  </si>
  <si>
    <t>C1016</t>
  </si>
  <si>
    <t>Month</t>
  </si>
  <si>
    <t>Month_No</t>
  </si>
  <si>
    <t>Profit_Margin_%</t>
  </si>
  <si>
    <t>Jan</t>
  </si>
  <si>
    <t>Feb</t>
  </si>
  <si>
    <t>Mar</t>
  </si>
  <si>
    <t>Apr</t>
  </si>
  <si>
    <t>May</t>
  </si>
  <si>
    <t>Jun</t>
  </si>
  <si>
    <t>UnKnown</t>
  </si>
  <si>
    <t>Row Labels</t>
  </si>
  <si>
    <t>Sum of Profit</t>
  </si>
  <si>
    <t>Grand Total</t>
  </si>
  <si>
    <t>Sum of Sales</t>
  </si>
  <si>
    <t>Sum of Cost</t>
  </si>
  <si>
    <t>Count of Order_ID</t>
  </si>
  <si>
    <t>Average of Profit_Margin_%</t>
  </si>
  <si>
    <t>Column Labels</t>
  </si>
  <si>
    <t>Average of Cost</t>
  </si>
  <si>
    <t>Average of Discount_%</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</si>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</sst>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mmm\ dd\,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14" fontId="0" fillId="0" borderId="0" xfId="0" applyNumberFormat="1" applyAlignment="1">
      <alignment horizontal="left"/>
    </xf>
    <xf numFmtId="165" fontId="0" fillId="0" borderId="0" xfId="0" applyNumberFormat="1"/>
    <xf numFmtId="1" fontId="0" fillId="0" borderId="0" xfId="0" applyNumberFormat="1"/>
  </cellXfs>
  <cellStyles count="1">
    <cellStyle name="Normal" xfId="0" builtinId="0"/>
  </cellStyles>
  <dxfs count="7">
    <dxf>
      <numFmt numFmtId="1" formatCode="0"/>
    </dxf>
    <dxf>
      <numFmt numFmtId="1" formatCode="0"/>
    </dxf>
    <dxf>
      <numFmt numFmtId="1" formatCode="0"/>
    </dxf>
    <dxf>
      <numFmt numFmtId="1" formatCode="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[Excel_Dashboard_Simple_Raw_Dataset(1).xlsx]Pivot Table!PivotTable1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Table'!$A$4:$A$9</c:f>
              <c:strCache>
                <c:ptCount val="5"/>
                <c:pt idx="0">
                  <c:v>West</c:v>
                </c:pt>
                <c:pt idx="1">
                  <c:v>South</c:v>
                </c:pt>
                <c:pt idx="2">
                  <c:v>East</c:v>
                </c:pt>
                <c:pt idx="3">
                  <c:v>North</c:v>
                </c:pt>
                <c:pt idx="4">
                  <c:v>UnKnown</c:v>
                </c:pt>
              </c:strCache>
            </c:strRef>
          </c:cat>
          <c:val>
            <c:numRef>
              <c:f>'Pivot Table'!$B$4:$B$9</c:f>
              <c:numCache>
                <c:formatCode>0</c:formatCode>
                <c:ptCount val="5"/>
                <c:pt idx="0">
                  <c:v>222648.75</c:v>
                </c:pt>
                <c:pt idx="1">
                  <c:v>198690.15999999997</c:v>
                </c:pt>
                <c:pt idx="2">
                  <c:v>195442.47999999992</c:v>
                </c:pt>
                <c:pt idx="3">
                  <c:v>162816.98000000004</c:v>
                </c:pt>
                <c:pt idx="4">
                  <c:v>405.15</c:v>
                </c:pt>
              </c:numCache>
            </c:numRef>
          </c:val>
          <c:extLst>
            <c:ext xmlns:c16="http://schemas.microsoft.com/office/drawing/2014/chart" uri="{C3380CC4-5D6E-409C-BE32-E72D297353CC}">
              <c16:uniqueId val="{00000000-9E39-4872-8793-F5DB9FF1F127}"/>
            </c:ext>
          </c:extLst>
        </c:ser>
        <c:dLbls>
          <c:showLegendKey val="0"/>
          <c:showVal val="1"/>
          <c:showCatName val="0"/>
          <c:showSerName val="0"/>
          <c:showPercent val="0"/>
          <c:showBubbleSize val="0"/>
        </c:dLbls>
        <c:gapWidth val="160"/>
        <c:gapDepth val="0"/>
        <c:shape val="box"/>
        <c:axId val="2079709311"/>
        <c:axId val="1929265679"/>
        <c:axId val="0"/>
      </c:bar3DChart>
      <c:catAx>
        <c:axId val="2079709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265679"/>
        <c:crosses val="autoZero"/>
        <c:auto val="1"/>
        <c:lblAlgn val="ctr"/>
        <c:lblOffset val="100"/>
        <c:noMultiLvlLbl val="0"/>
      </c:catAx>
      <c:valAx>
        <c:axId val="19292656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0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[Excel_Dashboard_Simple_Raw_Dataset(1).xlsx]Pivot Table!PivotTable3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AE-4F9B-95A1-A623B261AD96}"/>
              </c:ext>
            </c:extLst>
          </c:dPt>
          <c:dPt>
            <c:idx val="1"/>
            <c:bubble3D val="0"/>
            <c:explosion val="25"/>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AE-4F9B-95A1-A623B261AD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EAE-4F9B-95A1-A623B261AD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EAE-4F9B-95A1-A623B261AD9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EAE-4F9B-95A1-A623B261AD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5"/>
                <c:pt idx="0">
                  <c:v>West</c:v>
                </c:pt>
                <c:pt idx="1">
                  <c:v>East</c:v>
                </c:pt>
                <c:pt idx="2">
                  <c:v>South</c:v>
                </c:pt>
                <c:pt idx="3">
                  <c:v>North</c:v>
                </c:pt>
                <c:pt idx="4">
                  <c:v>UnKnown</c:v>
                </c:pt>
              </c:strCache>
            </c:strRef>
          </c:cat>
          <c:val>
            <c:numRef>
              <c:f>'Pivot Table'!$E$4:$E$9</c:f>
              <c:numCache>
                <c:formatCode>0</c:formatCode>
                <c:ptCount val="5"/>
                <c:pt idx="0">
                  <c:v>858555.1</c:v>
                </c:pt>
                <c:pt idx="1">
                  <c:v>650732.74999999977</c:v>
                </c:pt>
                <c:pt idx="2">
                  <c:v>622693.85</c:v>
                </c:pt>
                <c:pt idx="3">
                  <c:v>496216.65</c:v>
                </c:pt>
                <c:pt idx="4">
                  <c:v>1166.2</c:v>
                </c:pt>
              </c:numCache>
            </c:numRef>
          </c:val>
          <c:extLst>
            <c:ext xmlns:c16="http://schemas.microsoft.com/office/drawing/2014/chart" uri="{C3380CC4-5D6E-409C-BE32-E72D297353CC}">
              <c16:uniqueId val="{0000000A-4EAE-4F9B-95A1-A623B261AD9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715809717333724"/>
          <c:y val="0.24650265283363185"/>
          <c:w val="0.24519213324140934"/>
          <c:h val="0.64510628231556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[Excel_Dashboard_Simple_Raw_Dataset(1).xlsx]Pivot Table!PivotTable10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Table'!$K$3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Table'!$J$4:$J$8</c:f>
              <c:strCache>
                <c:ptCount val="4"/>
                <c:pt idx="0">
                  <c:v>Card</c:v>
                </c:pt>
                <c:pt idx="1">
                  <c:v>Cash</c:v>
                </c:pt>
                <c:pt idx="2">
                  <c:v>UPI</c:v>
                </c:pt>
                <c:pt idx="3">
                  <c:v>Net Banking</c:v>
                </c:pt>
              </c:strCache>
            </c:strRef>
          </c:cat>
          <c:val>
            <c:numRef>
              <c:f>'Pivot Table'!$K$4:$K$8</c:f>
              <c:numCache>
                <c:formatCode>0</c:formatCode>
                <c:ptCount val="4"/>
                <c:pt idx="0">
                  <c:v>281023.8</c:v>
                </c:pt>
                <c:pt idx="1">
                  <c:v>549002.25</c:v>
                </c:pt>
                <c:pt idx="2">
                  <c:v>859083.49999999988</c:v>
                </c:pt>
                <c:pt idx="3">
                  <c:v>940255</c:v>
                </c:pt>
              </c:numCache>
            </c:numRef>
          </c:val>
          <c:extLst>
            <c:ext xmlns:c16="http://schemas.microsoft.com/office/drawing/2014/chart" uri="{C3380CC4-5D6E-409C-BE32-E72D297353CC}">
              <c16:uniqueId val="{00000000-E81F-4504-9C4C-FB5E22AB9BBB}"/>
            </c:ext>
          </c:extLst>
        </c:ser>
        <c:dLbls>
          <c:showLegendKey val="0"/>
          <c:showVal val="1"/>
          <c:showCatName val="0"/>
          <c:showSerName val="0"/>
          <c:showPercent val="0"/>
          <c:showBubbleSize val="0"/>
        </c:dLbls>
        <c:gapWidth val="150"/>
        <c:shape val="box"/>
        <c:axId val="2079708847"/>
        <c:axId val="1898737615"/>
        <c:axId val="0"/>
      </c:bar3DChart>
      <c:catAx>
        <c:axId val="207970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37615"/>
        <c:crosses val="autoZero"/>
        <c:auto val="1"/>
        <c:lblAlgn val="ctr"/>
        <c:lblOffset val="100"/>
        <c:noMultiLvlLbl val="0"/>
      </c:catAx>
      <c:valAx>
        <c:axId val="18987376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0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938740765512421E-2"/>
          <c:y val="0.26876811594202898"/>
          <c:w val="0.7350740279086736"/>
          <c:h val="0.56312849480771421"/>
        </c:manualLayout>
      </c:layout>
      <c:bar3DChart>
        <c:barDir val="col"/>
        <c:grouping val="clustered"/>
        <c:varyColors val="0"/>
        <c:ser>
          <c:idx val="0"/>
          <c:order val="0"/>
          <c:tx>
            <c:v>East</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1</c:v>
              </c:pt>
              <c:pt idx="1">
                <c:v>7</c:v>
              </c:pt>
              <c:pt idx="2">
                <c:v>3</c:v>
              </c:pt>
              <c:pt idx="3">
                <c:v>6</c:v>
              </c:pt>
              <c:pt idx="4">
                <c:v>6</c:v>
              </c:pt>
              <c:pt idx="5">
                <c:v>4</c:v>
              </c:pt>
            </c:numLit>
          </c:val>
          <c:extLst>
            <c:ext xmlns:c16="http://schemas.microsoft.com/office/drawing/2014/chart" uri="{C3380CC4-5D6E-409C-BE32-E72D297353CC}">
              <c16:uniqueId val="{00000000-EBE7-4B15-9DDB-F616A3BECFC5}"/>
            </c:ext>
          </c:extLst>
        </c:ser>
        <c:ser>
          <c:idx val="1"/>
          <c:order val="1"/>
          <c:tx>
            <c:v>North</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8</c:v>
              </c:pt>
              <c:pt idx="1">
                <c:v>3</c:v>
              </c:pt>
              <c:pt idx="2">
                <c:v>3</c:v>
              </c:pt>
              <c:pt idx="3">
                <c:v>3</c:v>
              </c:pt>
              <c:pt idx="4">
                <c:v>3</c:v>
              </c:pt>
              <c:pt idx="5">
                <c:v>4</c:v>
              </c:pt>
            </c:numLit>
          </c:val>
          <c:extLst>
            <c:ext xmlns:c16="http://schemas.microsoft.com/office/drawing/2014/chart" uri="{C3380CC4-5D6E-409C-BE32-E72D297353CC}">
              <c16:uniqueId val="{00000001-EBE7-4B15-9DDB-F616A3BECFC5}"/>
            </c:ext>
          </c:extLst>
        </c:ser>
        <c:ser>
          <c:idx val="2"/>
          <c:order val="2"/>
          <c:tx>
            <c:v>South</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1</c:v>
              </c:pt>
              <c:pt idx="1">
                <c:v>1</c:v>
              </c:pt>
              <c:pt idx="2">
                <c:v>3</c:v>
              </c:pt>
              <c:pt idx="3">
                <c:v>1</c:v>
              </c:pt>
              <c:pt idx="4">
                <c:v>4</c:v>
              </c:pt>
              <c:pt idx="5">
                <c:v>1</c:v>
              </c:pt>
            </c:numLit>
          </c:val>
          <c:extLst>
            <c:ext xmlns:c16="http://schemas.microsoft.com/office/drawing/2014/chart" uri="{C3380CC4-5D6E-409C-BE32-E72D297353CC}">
              <c16:uniqueId val="{00000002-EBE7-4B15-9DDB-F616A3BECFC5}"/>
            </c:ext>
          </c:extLst>
        </c:ser>
        <c:ser>
          <c:idx val="3"/>
          <c:order val="3"/>
          <c:tx>
            <c:v>UnKnown</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0</c:v>
              </c:pt>
              <c:pt idx="1">
                <c:v>0</c:v>
              </c:pt>
              <c:pt idx="2">
                <c:v>0</c:v>
              </c:pt>
              <c:pt idx="3">
                <c:v>1</c:v>
              </c:pt>
              <c:pt idx="4">
                <c:v>0</c:v>
              </c:pt>
              <c:pt idx="5">
                <c:v>0</c:v>
              </c:pt>
            </c:numLit>
          </c:val>
          <c:extLst>
            <c:ext xmlns:c16="http://schemas.microsoft.com/office/drawing/2014/chart" uri="{C3380CC4-5D6E-409C-BE32-E72D297353CC}">
              <c16:uniqueId val="{00000003-EBE7-4B15-9DDB-F616A3BECFC5}"/>
            </c:ext>
          </c:extLst>
        </c:ser>
        <c:ser>
          <c:idx val="4"/>
          <c:order val="4"/>
          <c:tx>
            <c:v>West</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4</c:v>
              </c:pt>
              <c:pt idx="1">
                <c:v>1</c:v>
              </c:pt>
              <c:pt idx="2">
                <c:v>5</c:v>
              </c:pt>
              <c:pt idx="3">
                <c:v>2</c:v>
              </c:pt>
              <c:pt idx="4">
                <c:v>1</c:v>
              </c:pt>
              <c:pt idx="5">
                <c:v>4</c:v>
              </c:pt>
            </c:numLit>
          </c:val>
          <c:extLst>
            <c:ext xmlns:c16="http://schemas.microsoft.com/office/drawing/2014/chart" uri="{C3380CC4-5D6E-409C-BE32-E72D297353CC}">
              <c16:uniqueId val="{00000004-EBE7-4B15-9DDB-F616A3BECFC5}"/>
            </c:ext>
          </c:extLst>
        </c:ser>
        <c:dLbls>
          <c:showLegendKey val="0"/>
          <c:showVal val="1"/>
          <c:showCatName val="0"/>
          <c:showSerName val="0"/>
          <c:showPercent val="0"/>
          <c:showBubbleSize val="0"/>
        </c:dLbls>
        <c:gapWidth val="150"/>
        <c:shape val="box"/>
        <c:axId val="2079723695"/>
        <c:axId val="1898774095"/>
        <c:axId val="0"/>
      </c:bar3DChart>
      <c:catAx>
        <c:axId val="207972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74095"/>
        <c:crosses val="autoZero"/>
        <c:auto val="1"/>
        <c:lblAlgn val="ctr"/>
        <c:lblOffset val="100"/>
        <c:noMultiLvlLbl val="0"/>
      </c:catAx>
      <c:valAx>
        <c:axId val="1898774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23695"/>
        <c:crosses val="autoZero"/>
        <c:crossBetween val="between"/>
      </c:valAx>
      <c:spPr>
        <a:noFill/>
        <a:ln>
          <a:noFill/>
        </a:ln>
        <a:effectLst/>
      </c:spPr>
    </c:plotArea>
    <c:legend>
      <c:legendPos val="r"/>
      <c:layout>
        <c:manualLayout>
          <c:xMode val="edge"/>
          <c:yMode val="edge"/>
          <c:x val="0.82545678411820145"/>
          <c:y val="0.34804347826086957"/>
          <c:w val="0.1513771927157754"/>
          <c:h val="0.579492753623188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[Excel_Dashboard_Simple_Raw_Dataset(1).xlsx]Pivot Table!PivotTable10</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Table'!$J$4:$J$8</c:f>
              <c:strCache>
                <c:ptCount val="4"/>
                <c:pt idx="0">
                  <c:v>Card</c:v>
                </c:pt>
                <c:pt idx="1">
                  <c:v>Cash</c:v>
                </c:pt>
                <c:pt idx="2">
                  <c:v>UPI</c:v>
                </c:pt>
                <c:pt idx="3">
                  <c:v>Net Banking</c:v>
                </c:pt>
              </c:strCache>
            </c:strRef>
          </c:cat>
          <c:val>
            <c:numRef>
              <c:f>'Pivot Table'!$K$4:$K$8</c:f>
              <c:numCache>
                <c:formatCode>0</c:formatCode>
                <c:ptCount val="4"/>
                <c:pt idx="0">
                  <c:v>281023.8</c:v>
                </c:pt>
                <c:pt idx="1">
                  <c:v>549002.25</c:v>
                </c:pt>
                <c:pt idx="2">
                  <c:v>859083.49999999988</c:v>
                </c:pt>
                <c:pt idx="3">
                  <c:v>940255</c:v>
                </c:pt>
              </c:numCache>
            </c:numRef>
          </c:val>
          <c:extLst>
            <c:ext xmlns:c16="http://schemas.microsoft.com/office/drawing/2014/chart" uri="{C3380CC4-5D6E-409C-BE32-E72D297353CC}">
              <c16:uniqueId val="{00000000-C278-45AC-AACC-1C680B7ECA8B}"/>
            </c:ext>
          </c:extLst>
        </c:ser>
        <c:dLbls>
          <c:showLegendKey val="0"/>
          <c:showVal val="1"/>
          <c:showCatName val="0"/>
          <c:showSerName val="0"/>
          <c:showPercent val="0"/>
          <c:showBubbleSize val="0"/>
        </c:dLbls>
        <c:gapWidth val="150"/>
        <c:shape val="box"/>
        <c:axId val="177038479"/>
        <c:axId val="1898823535"/>
        <c:axId val="0"/>
      </c:bar3DChart>
      <c:catAx>
        <c:axId val="17703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23535"/>
        <c:crosses val="autoZero"/>
        <c:auto val="1"/>
        <c:lblAlgn val="ctr"/>
        <c:lblOffset val="100"/>
        <c:noMultiLvlLbl val="0"/>
      </c:catAx>
      <c:valAx>
        <c:axId val="18988235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[Excel_Dashboard_Simple_Raw_Dataset(1).xlsx]Pivot Table!PivotTable17</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37007874015745"/>
          <c:y val="0.14869888475836432"/>
          <c:w val="0.44597021155488092"/>
          <c:h val="0.67138834411497816"/>
        </c:manualLayout>
      </c:layout>
      <c:barChart>
        <c:barDir val="bar"/>
        <c:grouping val="clustered"/>
        <c:varyColors val="0"/>
        <c:ser>
          <c:idx val="0"/>
          <c:order val="0"/>
          <c:tx>
            <c:strRef>
              <c:f>'Pivot Table'!$J$21</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Table'!$I$22:$I$24</c:f>
              <c:strCache>
                <c:ptCount val="2"/>
                <c:pt idx="0">
                  <c:v>Accessories</c:v>
                </c:pt>
                <c:pt idx="1">
                  <c:v>Electronics</c:v>
                </c:pt>
              </c:strCache>
            </c:strRef>
          </c:cat>
          <c:val>
            <c:numRef>
              <c:f>'Pivot Table'!$J$22:$J$24</c:f>
              <c:numCache>
                <c:formatCode>0</c:formatCode>
                <c:ptCount val="2"/>
                <c:pt idx="0">
                  <c:v>237219.50000000006</c:v>
                </c:pt>
                <c:pt idx="1">
                  <c:v>2392145.0500000003</c:v>
                </c:pt>
              </c:numCache>
            </c:numRef>
          </c:val>
          <c:extLst>
            <c:ext xmlns:c16="http://schemas.microsoft.com/office/drawing/2014/chart" uri="{C3380CC4-5D6E-409C-BE32-E72D297353CC}">
              <c16:uniqueId val="{00000000-4C35-4BD8-AD10-2BAE461EA973}"/>
            </c:ext>
          </c:extLst>
        </c:ser>
        <c:ser>
          <c:idx val="1"/>
          <c:order val="1"/>
          <c:tx>
            <c:strRef>
              <c:f>'Pivot Table'!$K$21</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Table'!$I$22:$I$24</c:f>
              <c:strCache>
                <c:ptCount val="2"/>
                <c:pt idx="0">
                  <c:v>Accessories</c:v>
                </c:pt>
                <c:pt idx="1">
                  <c:v>Electronics</c:v>
                </c:pt>
              </c:strCache>
            </c:strRef>
          </c:cat>
          <c:val>
            <c:numRef>
              <c:f>'Pivot Table'!$K$22:$K$24</c:f>
              <c:numCache>
                <c:formatCode>0</c:formatCode>
                <c:ptCount val="2"/>
                <c:pt idx="0">
                  <c:v>68550.87</c:v>
                </c:pt>
                <c:pt idx="1">
                  <c:v>711452.65000000026</c:v>
                </c:pt>
              </c:numCache>
            </c:numRef>
          </c:val>
          <c:extLst>
            <c:ext xmlns:c16="http://schemas.microsoft.com/office/drawing/2014/chart" uri="{C3380CC4-5D6E-409C-BE32-E72D297353CC}">
              <c16:uniqueId val="{00000001-4C35-4BD8-AD10-2BAE461EA973}"/>
            </c:ext>
          </c:extLst>
        </c:ser>
        <c:dLbls>
          <c:dLblPos val="outEnd"/>
          <c:showLegendKey val="0"/>
          <c:showVal val="1"/>
          <c:showCatName val="0"/>
          <c:showSerName val="0"/>
          <c:showPercent val="0"/>
          <c:showBubbleSize val="0"/>
        </c:dLbls>
        <c:gapWidth val="182"/>
        <c:axId val="177112255"/>
        <c:axId val="1898801455"/>
      </c:barChart>
      <c:catAx>
        <c:axId val="17711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01455"/>
        <c:crosses val="autoZero"/>
        <c:auto val="1"/>
        <c:lblAlgn val="ctr"/>
        <c:lblOffset val="100"/>
        <c:noMultiLvlLbl val="0"/>
      </c:catAx>
      <c:valAx>
        <c:axId val="18988014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1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png"/><Relationship Id="rId18" Type="http://schemas.openxmlformats.org/officeDocument/2006/relationships/image" Target="../media/image10.png"/><Relationship Id="rId3" Type="http://schemas.openxmlformats.org/officeDocument/2006/relationships/image" Target="../media/image3.png"/><Relationship Id="rId21" Type="http://schemas.openxmlformats.org/officeDocument/2006/relationships/image" Target="../media/image13.svg"/><Relationship Id="rId7" Type="http://schemas.openxmlformats.org/officeDocument/2006/relationships/chart" Target="../charts/chart3.xml"/><Relationship Id="rId12" Type="http://schemas.openxmlformats.org/officeDocument/2006/relationships/hyperlink" Target="#DashBoard!A1"/><Relationship Id="rId17" Type="http://schemas.openxmlformats.org/officeDocument/2006/relationships/image" Target="../media/image9.svg"/><Relationship Id="rId2" Type="http://schemas.openxmlformats.org/officeDocument/2006/relationships/image" Target="../media/image2.jp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hyperlink" Target="#'Clean Data'!A1"/><Relationship Id="rId6" Type="http://schemas.openxmlformats.org/officeDocument/2006/relationships/chart" Target="../charts/chart2.xml"/><Relationship Id="rId11" Type="http://schemas.openxmlformats.org/officeDocument/2006/relationships/image" Target="../media/image5.jpeg"/><Relationship Id="rId5" Type="http://schemas.openxmlformats.org/officeDocument/2006/relationships/chart" Target="../charts/chart1.xml"/><Relationship Id="rId15" Type="http://schemas.openxmlformats.org/officeDocument/2006/relationships/hyperlink" Target="#'Pivot Table'!A1"/><Relationship Id="rId10" Type="http://schemas.openxmlformats.org/officeDocument/2006/relationships/chart" Target="../charts/chart6.xml"/><Relationship Id="rId19" Type="http://schemas.openxmlformats.org/officeDocument/2006/relationships/image" Target="../media/image11.svg"/><Relationship Id="rId4" Type="http://schemas.openxmlformats.org/officeDocument/2006/relationships/image" Target="../media/image4.jpeg"/><Relationship Id="rId9" Type="http://schemas.openxmlformats.org/officeDocument/2006/relationships/chart" Target="../charts/chart5.xml"/><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273050</xdr:colOff>
      <xdr:row>0</xdr:row>
      <xdr:rowOff>31750</xdr:rowOff>
    </xdr:from>
    <xdr:to>
      <xdr:col>0</xdr:col>
      <xdr:colOff>1168400</xdr:colOff>
      <xdr:row>1</xdr:row>
      <xdr:rowOff>139700</xdr:rowOff>
    </xdr:to>
    <xdr:grpSp>
      <xdr:nvGrpSpPr>
        <xdr:cNvPr id="29" name="Group 28">
          <a:hlinkClick xmlns:r="http://schemas.openxmlformats.org/officeDocument/2006/relationships" r:id="rId1"/>
          <a:extLst>
            <a:ext uri="{FF2B5EF4-FFF2-40B4-BE49-F238E27FC236}">
              <a16:creationId xmlns:a16="http://schemas.microsoft.com/office/drawing/2014/main" id="{5DC276EF-42C4-47BE-90FF-9F2E567C61C3}"/>
            </a:ext>
          </a:extLst>
        </xdr:cNvPr>
        <xdr:cNvGrpSpPr/>
      </xdr:nvGrpSpPr>
      <xdr:grpSpPr>
        <a:xfrm>
          <a:off x="273050" y="31750"/>
          <a:ext cx="895350" cy="292100"/>
          <a:chOff x="190500" y="25400"/>
          <a:chExt cx="1035050" cy="298450"/>
        </a:xfrm>
      </xdr:grpSpPr>
      <xdr:sp macro="" textlink="">
        <xdr:nvSpPr>
          <xdr:cNvPr id="30" name="Rectangle: Rounded Corners 29">
            <a:extLst>
              <a:ext uri="{FF2B5EF4-FFF2-40B4-BE49-F238E27FC236}">
                <a16:creationId xmlns:a16="http://schemas.microsoft.com/office/drawing/2014/main" id="{C0B95E38-90AA-CDEF-4AA4-318ED62F48F4}"/>
              </a:ext>
            </a:extLst>
          </xdr:cNvPr>
          <xdr:cNvSpPr/>
        </xdr:nvSpPr>
        <xdr:spPr>
          <a:xfrm>
            <a:off x="190500" y="25400"/>
            <a:ext cx="1035050" cy="29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400"/>
              <a:t>Back</a:t>
            </a:r>
          </a:p>
        </xdr:txBody>
      </xdr:sp>
      <xdr:pic>
        <xdr:nvPicPr>
          <xdr:cNvPr id="31" name="Picture 30">
            <a:extLst>
              <a:ext uri="{FF2B5EF4-FFF2-40B4-BE49-F238E27FC236}">
                <a16:creationId xmlns:a16="http://schemas.microsoft.com/office/drawing/2014/main" id="{ABDB0CFD-6C2E-C3AF-D685-ACCEFDB525CD}"/>
              </a:ext>
            </a:extLst>
          </xdr:cNvPr>
          <xdr:cNvPicPr>
            <a:picLocks noChangeAspect="1"/>
          </xdr:cNvPicPr>
        </xdr:nvPicPr>
        <xdr:blipFill>
          <a:blip xmlns:r="http://schemas.openxmlformats.org/officeDocument/2006/relationships" r:embed="rId2"/>
          <a:stretch>
            <a:fillRect/>
          </a:stretch>
        </xdr:blipFill>
        <xdr:spPr>
          <a:xfrm>
            <a:off x="252135" y="101601"/>
            <a:ext cx="259875" cy="19684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25400</xdr:rowOff>
    </xdr:from>
    <xdr:to>
      <xdr:col>1</xdr:col>
      <xdr:colOff>76200</xdr:colOff>
      <xdr:row>1</xdr:row>
      <xdr:rowOff>158750</xdr:rowOff>
    </xdr:to>
    <xdr:grpSp>
      <xdr:nvGrpSpPr>
        <xdr:cNvPr id="5" name="Group 4">
          <a:hlinkClick xmlns:r="http://schemas.openxmlformats.org/officeDocument/2006/relationships" r:id="rId1"/>
          <a:extLst>
            <a:ext uri="{FF2B5EF4-FFF2-40B4-BE49-F238E27FC236}">
              <a16:creationId xmlns:a16="http://schemas.microsoft.com/office/drawing/2014/main" id="{312EAB4C-C3EE-485F-BD55-A96D9ACF4556}"/>
            </a:ext>
          </a:extLst>
        </xdr:cNvPr>
        <xdr:cNvGrpSpPr/>
      </xdr:nvGrpSpPr>
      <xdr:grpSpPr>
        <a:xfrm>
          <a:off x="63500" y="25400"/>
          <a:ext cx="882650" cy="317500"/>
          <a:chOff x="190500" y="25400"/>
          <a:chExt cx="1035050" cy="298450"/>
        </a:xfrm>
      </xdr:grpSpPr>
      <xdr:sp macro="" textlink="">
        <xdr:nvSpPr>
          <xdr:cNvPr id="6" name="Rectangle: Rounded Corners 5">
            <a:extLst>
              <a:ext uri="{FF2B5EF4-FFF2-40B4-BE49-F238E27FC236}">
                <a16:creationId xmlns:a16="http://schemas.microsoft.com/office/drawing/2014/main" id="{3E9C4179-E796-F991-B877-3A4182F5EBCE}"/>
              </a:ext>
            </a:extLst>
          </xdr:cNvPr>
          <xdr:cNvSpPr/>
        </xdr:nvSpPr>
        <xdr:spPr>
          <a:xfrm>
            <a:off x="190500" y="25400"/>
            <a:ext cx="1035050" cy="29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400"/>
              <a:t>Back</a:t>
            </a:r>
          </a:p>
        </xdr:txBody>
      </xdr:sp>
      <xdr:pic>
        <xdr:nvPicPr>
          <xdr:cNvPr id="7" name="Picture 6">
            <a:extLst>
              <a:ext uri="{FF2B5EF4-FFF2-40B4-BE49-F238E27FC236}">
                <a16:creationId xmlns:a16="http://schemas.microsoft.com/office/drawing/2014/main" id="{5927A430-99F9-AFD5-3F10-4469DC9B7E47}"/>
              </a:ext>
            </a:extLst>
          </xdr:cNvPr>
          <xdr:cNvPicPr>
            <a:picLocks noChangeAspect="1"/>
          </xdr:cNvPicPr>
        </xdr:nvPicPr>
        <xdr:blipFill>
          <a:blip xmlns:r="http://schemas.openxmlformats.org/officeDocument/2006/relationships" r:embed="rId2"/>
          <a:stretch>
            <a:fillRect/>
          </a:stretch>
        </xdr:blipFill>
        <xdr:spPr>
          <a:xfrm>
            <a:off x="252135" y="101601"/>
            <a:ext cx="259875" cy="196849"/>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107950</xdr:colOff>
      <xdr:row>0</xdr:row>
      <xdr:rowOff>12700</xdr:rowOff>
    </xdr:from>
    <xdr:to>
      <xdr:col>1</xdr:col>
      <xdr:colOff>127000</xdr:colOff>
      <xdr:row>1</xdr:row>
      <xdr:rowOff>165100</xdr:rowOff>
    </xdr:to>
    <xdr:grpSp>
      <xdr:nvGrpSpPr>
        <xdr:cNvPr id="5" name="Group 4">
          <a:hlinkClick xmlns:r="http://schemas.openxmlformats.org/officeDocument/2006/relationships" r:id="rId1"/>
          <a:extLst>
            <a:ext uri="{FF2B5EF4-FFF2-40B4-BE49-F238E27FC236}">
              <a16:creationId xmlns:a16="http://schemas.microsoft.com/office/drawing/2014/main" id="{338E5682-097A-4EA8-A99B-AC3D2930136F}"/>
            </a:ext>
          </a:extLst>
        </xdr:cNvPr>
        <xdr:cNvGrpSpPr/>
      </xdr:nvGrpSpPr>
      <xdr:grpSpPr>
        <a:xfrm>
          <a:off x="107950" y="12700"/>
          <a:ext cx="882650" cy="336550"/>
          <a:chOff x="190500" y="25400"/>
          <a:chExt cx="1035050" cy="298450"/>
        </a:xfrm>
      </xdr:grpSpPr>
      <xdr:sp macro="" textlink="">
        <xdr:nvSpPr>
          <xdr:cNvPr id="6" name="Rectangle: Rounded Corners 5">
            <a:extLst>
              <a:ext uri="{FF2B5EF4-FFF2-40B4-BE49-F238E27FC236}">
                <a16:creationId xmlns:a16="http://schemas.microsoft.com/office/drawing/2014/main" id="{F368BF9C-C43A-9C5B-BF34-E1BFFBAA246B}"/>
              </a:ext>
            </a:extLst>
          </xdr:cNvPr>
          <xdr:cNvSpPr/>
        </xdr:nvSpPr>
        <xdr:spPr>
          <a:xfrm>
            <a:off x="190500" y="25400"/>
            <a:ext cx="1035050" cy="29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400"/>
              <a:t>Back</a:t>
            </a:r>
          </a:p>
        </xdr:txBody>
      </xdr:sp>
      <xdr:pic>
        <xdr:nvPicPr>
          <xdr:cNvPr id="7" name="Picture 6">
            <a:extLst>
              <a:ext uri="{FF2B5EF4-FFF2-40B4-BE49-F238E27FC236}">
                <a16:creationId xmlns:a16="http://schemas.microsoft.com/office/drawing/2014/main" id="{CFC1DC4F-DB27-64FE-0451-E2F65ABAA8CB}"/>
              </a:ext>
            </a:extLst>
          </xdr:cNvPr>
          <xdr:cNvPicPr>
            <a:picLocks noChangeAspect="1"/>
          </xdr:cNvPicPr>
        </xdr:nvPicPr>
        <xdr:blipFill>
          <a:blip xmlns:r="http://schemas.openxmlformats.org/officeDocument/2006/relationships" r:embed="rId2"/>
          <a:stretch>
            <a:fillRect/>
          </a:stretch>
        </xdr:blipFill>
        <xdr:spPr>
          <a:xfrm>
            <a:off x="252135" y="101601"/>
            <a:ext cx="259875" cy="196849"/>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533400</xdr:colOff>
      <xdr:row>0</xdr:row>
      <xdr:rowOff>31750</xdr:rowOff>
    </xdr:from>
    <xdr:to>
      <xdr:col>18</xdr:col>
      <xdr:colOff>254000</xdr:colOff>
      <xdr:row>31</xdr:row>
      <xdr:rowOff>146050</xdr:rowOff>
    </xdr:to>
    <xdr:grpSp>
      <xdr:nvGrpSpPr>
        <xdr:cNvPr id="25" name="Group 24">
          <a:hlinkClick xmlns:r="http://schemas.openxmlformats.org/officeDocument/2006/relationships" r:id="rId1"/>
          <a:extLst>
            <a:ext uri="{FF2B5EF4-FFF2-40B4-BE49-F238E27FC236}">
              <a16:creationId xmlns:a16="http://schemas.microsoft.com/office/drawing/2014/main" id="{B0E8C20F-BB88-68F3-F520-7A5B242297D5}"/>
            </a:ext>
          </a:extLst>
        </xdr:cNvPr>
        <xdr:cNvGrpSpPr/>
      </xdr:nvGrpSpPr>
      <xdr:grpSpPr>
        <a:xfrm>
          <a:off x="533400" y="31750"/>
          <a:ext cx="10660743" cy="5738586"/>
          <a:chOff x="685800" y="88900"/>
          <a:chExt cx="10452100" cy="4718023"/>
        </a:xfrm>
      </xdr:grpSpPr>
      <xdr:sp macro="" textlink="">
        <xdr:nvSpPr>
          <xdr:cNvPr id="2" name="Rectangle: Rounded Corners 1">
            <a:extLst>
              <a:ext uri="{FF2B5EF4-FFF2-40B4-BE49-F238E27FC236}">
                <a16:creationId xmlns:a16="http://schemas.microsoft.com/office/drawing/2014/main" id="{719FD7C8-117B-0F43-AED2-2933CFE578AD}"/>
              </a:ext>
            </a:extLst>
          </xdr:cNvPr>
          <xdr:cNvSpPr/>
        </xdr:nvSpPr>
        <xdr:spPr>
          <a:xfrm>
            <a:off x="711200" y="95250"/>
            <a:ext cx="10426700" cy="4705350"/>
          </a:xfrm>
          <a:prstGeom prst="roundRect">
            <a:avLst>
              <a:gd name="adj" fmla="val 141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grpSp>
        <xdr:nvGrpSpPr>
          <xdr:cNvPr id="11" name="Group 10">
            <a:extLst>
              <a:ext uri="{FF2B5EF4-FFF2-40B4-BE49-F238E27FC236}">
                <a16:creationId xmlns:a16="http://schemas.microsoft.com/office/drawing/2014/main" id="{8AC0C701-25CE-7AFA-E9D3-A24AB356C23A}"/>
              </a:ext>
            </a:extLst>
          </xdr:cNvPr>
          <xdr:cNvGrpSpPr/>
        </xdr:nvGrpSpPr>
        <xdr:grpSpPr>
          <a:xfrm>
            <a:off x="685800" y="88900"/>
            <a:ext cx="1477197" cy="4718023"/>
            <a:chOff x="685800" y="158547"/>
            <a:chExt cx="1477197" cy="4699126"/>
          </a:xfrm>
        </xdr:grpSpPr>
        <xdr:sp macro="" textlink="">
          <xdr:nvSpPr>
            <xdr:cNvPr id="3" name="Rectangle: Rounded Corners 2">
              <a:extLst>
                <a:ext uri="{FF2B5EF4-FFF2-40B4-BE49-F238E27FC236}">
                  <a16:creationId xmlns:a16="http://schemas.microsoft.com/office/drawing/2014/main" id="{EEC51C7C-9108-CBAC-DE7D-E13358453C88}"/>
                </a:ext>
              </a:extLst>
            </xdr:cNvPr>
            <xdr:cNvSpPr/>
          </xdr:nvSpPr>
          <xdr:spPr>
            <a:xfrm>
              <a:off x="704850" y="158547"/>
              <a:ext cx="1333500" cy="4686503"/>
            </a:xfrm>
            <a:prstGeom prst="roundRect">
              <a:avLst>
                <a:gd name="adj" fmla="val 12842"/>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pic>
          <xdr:nvPicPr>
            <xdr:cNvPr id="10" name="Picture 9">
              <a:extLst>
                <a:ext uri="{FF2B5EF4-FFF2-40B4-BE49-F238E27FC236}">
                  <a16:creationId xmlns:a16="http://schemas.microsoft.com/office/drawing/2014/main" id="{2FE6484B-C77A-B70C-F4CB-093E10E1563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278" t="2430" r="7577" b="530"/>
            <a:stretch>
              <a:fillRect/>
            </a:stretch>
          </xdr:blipFill>
          <xdr:spPr>
            <a:xfrm>
              <a:off x="685800" y="164871"/>
              <a:ext cx="1477197" cy="4692802"/>
            </a:xfrm>
            <a:prstGeom prst="rect">
              <a:avLst/>
            </a:prstGeom>
            <a:ln>
              <a:noFill/>
            </a:ln>
          </xdr:spPr>
        </xdr:pic>
      </xdr:grpSp>
    </xdr:grpSp>
    <xdr:clientData/>
  </xdr:twoCellAnchor>
  <xdr:twoCellAnchor>
    <xdr:from>
      <xdr:col>3</xdr:col>
      <xdr:colOff>222250</xdr:colOff>
      <xdr:row>0</xdr:row>
      <xdr:rowOff>114300</xdr:rowOff>
    </xdr:from>
    <xdr:to>
      <xdr:col>9</xdr:col>
      <xdr:colOff>6350</xdr:colOff>
      <xdr:row>3</xdr:row>
      <xdr:rowOff>95250</xdr:rowOff>
    </xdr:to>
    <xdr:sp macro="" textlink="">
      <xdr:nvSpPr>
        <xdr:cNvPr id="12" name="TextBox 11">
          <a:extLst>
            <a:ext uri="{FF2B5EF4-FFF2-40B4-BE49-F238E27FC236}">
              <a16:creationId xmlns:a16="http://schemas.microsoft.com/office/drawing/2014/main" id="{68C679FA-B15C-6AC5-8388-CA502A11A6F5}"/>
            </a:ext>
          </a:extLst>
        </xdr:cNvPr>
        <xdr:cNvSpPr txBox="1"/>
      </xdr:nvSpPr>
      <xdr:spPr>
        <a:xfrm>
          <a:off x="2051050" y="114300"/>
          <a:ext cx="344170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600" b="1" i="1"/>
            <a:t>Sales Performance </a:t>
          </a:r>
          <a:r>
            <a:rPr lang="en-AE" sz="1600" b="1" i="1">
              <a:solidFill>
                <a:srgbClr val="00B050"/>
              </a:solidFill>
            </a:rPr>
            <a:t>Dashboard</a:t>
          </a:r>
          <a:br>
            <a:rPr lang="en-AE" sz="1600" b="1" i="1"/>
          </a:br>
          <a:r>
            <a:rPr lang="en-AE" sz="1000" b="1" i="1"/>
            <a:t>Track</a:t>
          </a:r>
          <a:r>
            <a:rPr lang="en-AE" sz="1000" b="1" i="1" baseline="0"/>
            <a:t> Performance,Analyze,Drive Growth.</a:t>
          </a:r>
          <a:endParaRPr lang="en-AE" sz="1000" b="1" i="1"/>
        </a:p>
      </xdr:txBody>
    </xdr:sp>
    <xdr:clientData/>
  </xdr:twoCellAnchor>
  <xdr:twoCellAnchor editAs="oneCell">
    <xdr:from>
      <xdr:col>3</xdr:col>
      <xdr:colOff>247650</xdr:colOff>
      <xdr:row>3</xdr:row>
      <xdr:rowOff>120650</xdr:rowOff>
    </xdr:from>
    <xdr:to>
      <xdr:col>6</xdr:col>
      <xdr:colOff>304800</xdr:colOff>
      <xdr:row>8</xdr:row>
      <xdr:rowOff>101600</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C9D7DF37-6C21-470F-A4D9-C87DA6E974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67983" y="670983"/>
              <a:ext cx="1877484" cy="89817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95250</xdr:colOff>
      <xdr:row>0</xdr:row>
      <xdr:rowOff>107950</xdr:rowOff>
    </xdr:from>
    <xdr:to>
      <xdr:col>15</xdr:col>
      <xdr:colOff>241300</xdr:colOff>
      <xdr:row>3</xdr:row>
      <xdr:rowOff>63500</xdr:rowOff>
    </xdr:to>
    <xdr:grpSp>
      <xdr:nvGrpSpPr>
        <xdr:cNvPr id="4" name="Group 3">
          <a:extLst>
            <a:ext uri="{FF2B5EF4-FFF2-40B4-BE49-F238E27FC236}">
              <a16:creationId xmlns:a16="http://schemas.microsoft.com/office/drawing/2014/main" id="{04BCBD2D-3E1D-F2A5-DED3-EA829409E52C}"/>
            </a:ext>
          </a:extLst>
        </xdr:cNvPr>
        <xdr:cNvGrpSpPr/>
      </xdr:nvGrpSpPr>
      <xdr:grpSpPr>
        <a:xfrm>
          <a:off x="7996464" y="107950"/>
          <a:ext cx="1361622" cy="499836"/>
          <a:chOff x="8020050" y="107950"/>
          <a:chExt cx="1365250" cy="508000"/>
        </a:xfrm>
      </xdr:grpSpPr>
      <xdr:grpSp>
        <xdr:nvGrpSpPr>
          <xdr:cNvPr id="20" name="Group 19">
            <a:extLst>
              <a:ext uri="{FF2B5EF4-FFF2-40B4-BE49-F238E27FC236}">
                <a16:creationId xmlns:a16="http://schemas.microsoft.com/office/drawing/2014/main" id="{D9F95D50-FCBA-352F-340B-62E1A90C81E0}"/>
              </a:ext>
            </a:extLst>
          </xdr:cNvPr>
          <xdr:cNvGrpSpPr/>
        </xdr:nvGrpSpPr>
        <xdr:grpSpPr>
          <a:xfrm>
            <a:off x="8020050" y="107950"/>
            <a:ext cx="1365250" cy="508000"/>
            <a:chOff x="8020050" y="107950"/>
            <a:chExt cx="1365250" cy="444500"/>
          </a:xfrm>
        </xdr:grpSpPr>
        <xdr:sp macro="" textlink="">
          <xdr:nvSpPr>
            <xdr:cNvPr id="16" name="Rectangle: Rounded Corners 15">
              <a:extLst>
                <a:ext uri="{FF2B5EF4-FFF2-40B4-BE49-F238E27FC236}">
                  <a16:creationId xmlns:a16="http://schemas.microsoft.com/office/drawing/2014/main" id="{DD011F05-46A1-239C-215E-293D88F6DF06}"/>
                </a:ext>
              </a:extLst>
            </xdr:cNvPr>
            <xdr:cNvSpPr/>
          </xdr:nvSpPr>
          <xdr:spPr>
            <a:xfrm>
              <a:off x="8020050" y="107950"/>
              <a:ext cx="1365250" cy="44450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000" b="1" i="1"/>
                <a:t>Date</a:t>
              </a:r>
              <a:r>
                <a:rPr lang="en-AE" sz="1000" b="1" i="1" baseline="0"/>
                <a:t> as of:</a:t>
              </a:r>
              <a:endParaRPr lang="en-AE" sz="1000" b="1" i="1"/>
            </a:p>
          </xdr:txBody>
        </xdr:sp>
        <xdr:pic>
          <xdr:nvPicPr>
            <xdr:cNvPr id="19" name="Picture 18">
              <a:extLst>
                <a:ext uri="{FF2B5EF4-FFF2-40B4-BE49-F238E27FC236}">
                  <a16:creationId xmlns:a16="http://schemas.microsoft.com/office/drawing/2014/main" id="{02E42BCE-86B0-B3A0-4FD0-079157FF9865}"/>
                </a:ext>
              </a:extLst>
            </xdr:cNvPr>
            <xdr:cNvPicPr>
              <a:picLocks noChangeAspect="1"/>
            </xdr:cNvPicPr>
          </xdr:nvPicPr>
          <xdr:blipFill>
            <a:blip xmlns:r="http://schemas.openxmlformats.org/officeDocument/2006/relationships" r:embed="rId3"/>
            <a:stretch>
              <a:fillRect/>
            </a:stretch>
          </xdr:blipFill>
          <xdr:spPr>
            <a:xfrm>
              <a:off x="8051800" y="158750"/>
              <a:ext cx="358775" cy="358775"/>
            </a:xfrm>
            <a:prstGeom prst="rect">
              <a:avLst/>
            </a:prstGeom>
          </xdr:spPr>
        </xdr:pic>
      </xdr:grpSp>
      <xdr:sp macro="" textlink="'Pivot Table'!D34">
        <xdr:nvSpPr>
          <xdr:cNvPr id="21" name="TextBox 20">
            <a:extLst>
              <a:ext uri="{FF2B5EF4-FFF2-40B4-BE49-F238E27FC236}">
                <a16:creationId xmlns:a16="http://schemas.microsoft.com/office/drawing/2014/main" id="{DADD5EBC-943A-AD9D-8979-45A39549D5A4}"/>
              </a:ext>
            </a:extLst>
          </xdr:cNvPr>
          <xdr:cNvSpPr txBox="1"/>
        </xdr:nvSpPr>
        <xdr:spPr>
          <a:xfrm>
            <a:off x="8356600" y="336550"/>
            <a:ext cx="100965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7046AF-D769-4F6E-90F7-7691FBF75B24}" type="TxLink">
              <a:rPr lang="en-US" sz="1100" b="0" i="0" u="none" strike="noStrike">
                <a:solidFill>
                  <a:srgbClr val="000000"/>
                </a:solidFill>
                <a:latin typeface="Calibri"/>
                <a:ea typeface="Calibri"/>
                <a:cs typeface="Calibri"/>
              </a:rPr>
              <a:pPr/>
              <a:t>Jan 01,2026</a:t>
            </a:fld>
            <a:endParaRPr lang="en-AE" sz="1100"/>
          </a:p>
        </xdr:txBody>
      </xdr:sp>
    </xdr:grpSp>
    <xdr:clientData/>
  </xdr:twoCellAnchor>
  <xdr:twoCellAnchor editAs="oneCell">
    <xdr:from>
      <xdr:col>6</xdr:col>
      <xdr:colOff>317500</xdr:colOff>
      <xdr:row>3</xdr:row>
      <xdr:rowOff>127001</xdr:rowOff>
    </xdr:from>
    <xdr:to>
      <xdr:col>9</xdr:col>
      <xdr:colOff>317500</xdr:colOff>
      <xdr:row>8</xdr:row>
      <xdr:rowOff>101600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0C833B5A-7A43-44EC-8B44-5C0748BE17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75100" y="679451"/>
              <a:ext cx="1828800" cy="9144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330200</xdr:colOff>
      <xdr:row>3</xdr:row>
      <xdr:rowOff>127000</xdr:rowOff>
    </xdr:from>
    <xdr:to>
      <xdr:col>11</xdr:col>
      <xdr:colOff>565150</xdr:colOff>
      <xdr:row>8</xdr:row>
      <xdr:rowOff>107950</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EFCF76C4-7E6F-49E3-9BD8-36199B5E93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16600" y="679450"/>
              <a:ext cx="1454150" cy="9334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488950</xdr:colOff>
      <xdr:row>3</xdr:row>
      <xdr:rowOff>127001</xdr:rowOff>
    </xdr:from>
    <xdr:to>
      <xdr:col>18</xdr:col>
      <xdr:colOff>101600</xdr:colOff>
      <xdr:row>8</xdr:row>
      <xdr:rowOff>76200</xdr:rowOff>
    </xdr:to>
    <mc:AlternateContent xmlns:mc="http://schemas.openxmlformats.org/markup-compatibility/2006" xmlns:a14="http://schemas.microsoft.com/office/drawing/2010/main">
      <mc:Choice Requires="a14">
        <xdr:graphicFrame macro="">
          <xdr:nvGraphicFramePr>
            <xdr:cNvPr id="30" name="Product">
              <a:extLst>
                <a:ext uri="{FF2B5EF4-FFF2-40B4-BE49-F238E27FC236}">
                  <a16:creationId xmlns:a16="http://schemas.microsoft.com/office/drawing/2014/main" id="{4E8D1F59-8096-4C94-A8FD-1DF652F9212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023350" y="679451"/>
              <a:ext cx="2051050" cy="9080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146050</xdr:colOff>
      <xdr:row>1</xdr:row>
      <xdr:rowOff>12701</xdr:rowOff>
    </xdr:from>
    <xdr:to>
      <xdr:col>17</xdr:col>
      <xdr:colOff>597017</xdr:colOff>
      <xdr:row>3</xdr:row>
      <xdr:rowOff>38101</xdr:rowOff>
    </xdr:to>
    <xdr:pic>
      <xdr:nvPicPr>
        <xdr:cNvPr id="6" name="Picture 5" descr="AI generated image">
          <a:extLst>
            <a:ext uri="{FF2B5EF4-FFF2-40B4-BE49-F238E27FC236}">
              <a16:creationId xmlns:a16="http://schemas.microsoft.com/office/drawing/2014/main" id="{515AA38D-16AC-46DE-A604-9BB90C932162}"/>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13241" b="1993"/>
        <a:stretch>
          <a:fillRect/>
        </a:stretch>
      </xdr:blipFill>
      <xdr:spPr bwMode="auto">
        <a:xfrm>
          <a:off x="10509250" y="196851"/>
          <a:ext cx="450967"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254000</xdr:colOff>
      <xdr:row>8</xdr:row>
      <xdr:rowOff>139700</xdr:rowOff>
    </xdr:from>
    <xdr:to>
      <xdr:col>5</xdr:col>
      <xdr:colOff>209550</xdr:colOff>
      <xdr:row>11</xdr:row>
      <xdr:rowOff>133350</xdr:rowOff>
    </xdr:to>
    <xdr:sp macro="" textlink="">
      <xdr:nvSpPr>
        <xdr:cNvPr id="8" name="Rectangle: Rounded Corners 7">
          <a:extLst>
            <a:ext uri="{FF2B5EF4-FFF2-40B4-BE49-F238E27FC236}">
              <a16:creationId xmlns:a16="http://schemas.microsoft.com/office/drawing/2014/main" id="{C919A143-4510-99AA-3B67-CA22108EE4DF}"/>
            </a:ext>
          </a:extLst>
        </xdr:cNvPr>
        <xdr:cNvSpPr/>
      </xdr:nvSpPr>
      <xdr:spPr>
        <a:xfrm>
          <a:off x="2082800" y="1612900"/>
          <a:ext cx="1174750" cy="5461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100"/>
            <a:t>Sum of Sales</a:t>
          </a:r>
        </a:p>
      </xdr:txBody>
    </xdr:sp>
    <xdr:clientData/>
  </xdr:twoCellAnchor>
  <xdr:twoCellAnchor>
    <xdr:from>
      <xdr:col>5</xdr:col>
      <xdr:colOff>247650</xdr:colOff>
      <xdr:row>8</xdr:row>
      <xdr:rowOff>127000</xdr:rowOff>
    </xdr:from>
    <xdr:to>
      <xdr:col>7</xdr:col>
      <xdr:colOff>177800</xdr:colOff>
      <xdr:row>11</xdr:row>
      <xdr:rowOff>133350</xdr:rowOff>
    </xdr:to>
    <xdr:sp macro="" textlink="">
      <xdr:nvSpPr>
        <xdr:cNvPr id="23" name="Rectangle: Rounded Corners 22">
          <a:extLst>
            <a:ext uri="{FF2B5EF4-FFF2-40B4-BE49-F238E27FC236}">
              <a16:creationId xmlns:a16="http://schemas.microsoft.com/office/drawing/2014/main" id="{0A10B975-3BC9-F140-401E-86E5ADBCF986}"/>
            </a:ext>
          </a:extLst>
        </xdr:cNvPr>
        <xdr:cNvSpPr/>
      </xdr:nvSpPr>
      <xdr:spPr>
        <a:xfrm>
          <a:off x="3295650" y="1600200"/>
          <a:ext cx="1149350" cy="558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100"/>
            <a:t>Sum of Profit</a:t>
          </a:r>
        </a:p>
      </xdr:txBody>
    </xdr:sp>
    <xdr:clientData/>
  </xdr:twoCellAnchor>
  <xdr:twoCellAnchor>
    <xdr:from>
      <xdr:col>7</xdr:col>
      <xdr:colOff>215900</xdr:colOff>
      <xdr:row>8</xdr:row>
      <xdr:rowOff>120650</xdr:rowOff>
    </xdr:from>
    <xdr:to>
      <xdr:col>9</xdr:col>
      <xdr:colOff>317500</xdr:colOff>
      <xdr:row>11</xdr:row>
      <xdr:rowOff>139700</xdr:rowOff>
    </xdr:to>
    <xdr:sp macro="" textlink="">
      <xdr:nvSpPr>
        <xdr:cNvPr id="28" name="Rectangle: Rounded Corners 27">
          <a:extLst>
            <a:ext uri="{FF2B5EF4-FFF2-40B4-BE49-F238E27FC236}">
              <a16:creationId xmlns:a16="http://schemas.microsoft.com/office/drawing/2014/main" id="{C06585AA-ACA5-0672-F16B-1328783CE8CD}"/>
            </a:ext>
          </a:extLst>
        </xdr:cNvPr>
        <xdr:cNvSpPr/>
      </xdr:nvSpPr>
      <xdr:spPr>
        <a:xfrm>
          <a:off x="4483100" y="1593850"/>
          <a:ext cx="1320800" cy="571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100"/>
            <a:t>Count</a:t>
          </a:r>
          <a:r>
            <a:rPr lang="en-AE" sz="1100" baseline="0"/>
            <a:t> of Orders</a:t>
          </a:r>
          <a:endParaRPr lang="en-AE" sz="1100"/>
        </a:p>
      </xdr:txBody>
    </xdr:sp>
    <xdr:clientData/>
  </xdr:twoCellAnchor>
  <xdr:twoCellAnchor>
    <xdr:from>
      <xdr:col>9</xdr:col>
      <xdr:colOff>361950</xdr:colOff>
      <xdr:row>8</xdr:row>
      <xdr:rowOff>127000</xdr:rowOff>
    </xdr:from>
    <xdr:to>
      <xdr:col>11</xdr:col>
      <xdr:colOff>463550</xdr:colOff>
      <xdr:row>11</xdr:row>
      <xdr:rowOff>146050</xdr:rowOff>
    </xdr:to>
    <xdr:sp macro="" textlink="">
      <xdr:nvSpPr>
        <xdr:cNvPr id="36" name="Rectangle: Rounded Corners 35">
          <a:extLst>
            <a:ext uri="{FF2B5EF4-FFF2-40B4-BE49-F238E27FC236}">
              <a16:creationId xmlns:a16="http://schemas.microsoft.com/office/drawing/2014/main" id="{F9E678F2-10AC-D947-C9B3-42A619400AEA}"/>
            </a:ext>
          </a:extLst>
        </xdr:cNvPr>
        <xdr:cNvSpPr/>
      </xdr:nvSpPr>
      <xdr:spPr>
        <a:xfrm>
          <a:off x="5848350" y="1600200"/>
          <a:ext cx="1320800" cy="5715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100"/>
            <a:t>Avg Cost</a:t>
          </a:r>
        </a:p>
      </xdr:txBody>
    </xdr:sp>
    <xdr:clientData/>
  </xdr:twoCellAnchor>
  <xdr:twoCellAnchor>
    <xdr:from>
      <xdr:col>11</xdr:col>
      <xdr:colOff>514350</xdr:colOff>
      <xdr:row>8</xdr:row>
      <xdr:rowOff>114300</xdr:rowOff>
    </xdr:from>
    <xdr:to>
      <xdr:col>14</xdr:col>
      <xdr:colOff>6350</xdr:colOff>
      <xdr:row>11</xdr:row>
      <xdr:rowOff>139700</xdr:rowOff>
    </xdr:to>
    <xdr:sp macro="" textlink="">
      <xdr:nvSpPr>
        <xdr:cNvPr id="39" name="Rectangle: Rounded Corners 38">
          <a:extLst>
            <a:ext uri="{FF2B5EF4-FFF2-40B4-BE49-F238E27FC236}">
              <a16:creationId xmlns:a16="http://schemas.microsoft.com/office/drawing/2014/main" id="{94B79B2F-C8A4-6CC7-9E06-8E6959B4B09F}"/>
            </a:ext>
          </a:extLst>
        </xdr:cNvPr>
        <xdr:cNvSpPr/>
      </xdr:nvSpPr>
      <xdr:spPr>
        <a:xfrm>
          <a:off x="7219950" y="1587500"/>
          <a:ext cx="1320800" cy="5778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100"/>
            <a:t>Avg Discount</a:t>
          </a:r>
        </a:p>
      </xdr:txBody>
    </xdr:sp>
    <xdr:clientData/>
  </xdr:twoCellAnchor>
  <xdr:twoCellAnchor>
    <xdr:from>
      <xdr:col>14</xdr:col>
      <xdr:colOff>57150</xdr:colOff>
      <xdr:row>8</xdr:row>
      <xdr:rowOff>114300</xdr:rowOff>
    </xdr:from>
    <xdr:to>
      <xdr:col>16</xdr:col>
      <xdr:colOff>158750</xdr:colOff>
      <xdr:row>11</xdr:row>
      <xdr:rowOff>146050</xdr:rowOff>
    </xdr:to>
    <xdr:sp macro="" textlink="">
      <xdr:nvSpPr>
        <xdr:cNvPr id="42" name="Rectangle: Rounded Corners 41">
          <a:extLst>
            <a:ext uri="{FF2B5EF4-FFF2-40B4-BE49-F238E27FC236}">
              <a16:creationId xmlns:a16="http://schemas.microsoft.com/office/drawing/2014/main" id="{5F83F581-96E8-7B57-18DE-2D8065745F0B}"/>
            </a:ext>
          </a:extLst>
        </xdr:cNvPr>
        <xdr:cNvSpPr/>
      </xdr:nvSpPr>
      <xdr:spPr>
        <a:xfrm>
          <a:off x="8591550" y="1587500"/>
          <a:ext cx="1320800" cy="5842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100"/>
            <a:t>Avg Profit_Margin</a:t>
          </a:r>
        </a:p>
      </xdr:txBody>
    </xdr:sp>
    <xdr:clientData/>
  </xdr:twoCellAnchor>
  <xdr:twoCellAnchor>
    <xdr:from>
      <xdr:col>16</xdr:col>
      <xdr:colOff>209550</xdr:colOff>
      <xdr:row>8</xdr:row>
      <xdr:rowOff>107950</xdr:rowOff>
    </xdr:from>
    <xdr:to>
      <xdr:col>18</xdr:col>
      <xdr:colOff>190500</xdr:colOff>
      <xdr:row>11</xdr:row>
      <xdr:rowOff>158750</xdr:rowOff>
    </xdr:to>
    <xdr:sp macro="" textlink="">
      <xdr:nvSpPr>
        <xdr:cNvPr id="48" name="Rectangle: Rounded Corners 47">
          <a:extLst>
            <a:ext uri="{FF2B5EF4-FFF2-40B4-BE49-F238E27FC236}">
              <a16:creationId xmlns:a16="http://schemas.microsoft.com/office/drawing/2014/main" id="{77FCC6B6-B6F8-BA9D-665D-915A7F6BDEAD}"/>
            </a:ext>
          </a:extLst>
        </xdr:cNvPr>
        <xdr:cNvSpPr/>
      </xdr:nvSpPr>
      <xdr:spPr>
        <a:xfrm>
          <a:off x="9963150" y="1581150"/>
          <a:ext cx="1200150" cy="6032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1100"/>
            <a:t>Avg Quantity</a:t>
          </a:r>
        </a:p>
      </xdr:txBody>
    </xdr:sp>
    <xdr:clientData/>
  </xdr:twoCellAnchor>
  <xdr:twoCellAnchor>
    <xdr:from>
      <xdr:col>3</xdr:col>
      <xdr:colOff>381000</xdr:colOff>
      <xdr:row>10</xdr:row>
      <xdr:rowOff>6350</xdr:rowOff>
    </xdr:from>
    <xdr:to>
      <xdr:col>5</xdr:col>
      <xdr:colOff>76200</xdr:colOff>
      <xdr:row>11</xdr:row>
      <xdr:rowOff>95250</xdr:rowOff>
    </xdr:to>
    <xdr:sp macro="" textlink="KPI!A6">
      <xdr:nvSpPr>
        <xdr:cNvPr id="50" name="TextBox 49">
          <a:extLst>
            <a:ext uri="{FF2B5EF4-FFF2-40B4-BE49-F238E27FC236}">
              <a16:creationId xmlns:a16="http://schemas.microsoft.com/office/drawing/2014/main" id="{57456C9A-6DBE-4C8B-998C-77FA0F1687E2}"/>
            </a:ext>
          </a:extLst>
        </xdr:cNvPr>
        <xdr:cNvSpPr txBox="1"/>
      </xdr:nvSpPr>
      <xdr:spPr>
        <a:xfrm>
          <a:off x="2209800" y="1847850"/>
          <a:ext cx="9144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B9138A-FA8D-48E3-9B07-3390DC36EE50}" type="TxLink">
            <a:rPr lang="en-US" sz="1100" b="0" i="0" u="none" strike="noStrike">
              <a:solidFill>
                <a:srgbClr val="000000"/>
              </a:solidFill>
              <a:latin typeface="Calibri"/>
              <a:ea typeface="Calibri"/>
              <a:cs typeface="Calibri"/>
            </a:rPr>
            <a:pPr algn="ctr"/>
            <a:t>2629364.55</a:t>
          </a:fld>
          <a:endParaRPr lang="en-AE" sz="1100"/>
        </a:p>
      </xdr:txBody>
    </xdr:sp>
    <xdr:clientData/>
  </xdr:twoCellAnchor>
  <xdr:twoCellAnchor>
    <xdr:from>
      <xdr:col>5</xdr:col>
      <xdr:colOff>368300</xdr:colOff>
      <xdr:row>10</xdr:row>
      <xdr:rowOff>6350</xdr:rowOff>
    </xdr:from>
    <xdr:to>
      <xdr:col>7</xdr:col>
      <xdr:colOff>63500</xdr:colOff>
      <xdr:row>11</xdr:row>
      <xdr:rowOff>95250</xdr:rowOff>
    </xdr:to>
    <xdr:sp macro="" textlink="KPI!C6">
      <xdr:nvSpPr>
        <xdr:cNvPr id="51" name="TextBox 50">
          <a:extLst>
            <a:ext uri="{FF2B5EF4-FFF2-40B4-BE49-F238E27FC236}">
              <a16:creationId xmlns:a16="http://schemas.microsoft.com/office/drawing/2014/main" id="{F2364B89-5434-4745-AC92-3B45DAEBB845}"/>
            </a:ext>
          </a:extLst>
        </xdr:cNvPr>
        <xdr:cNvSpPr txBox="1"/>
      </xdr:nvSpPr>
      <xdr:spPr>
        <a:xfrm>
          <a:off x="3416300" y="1847850"/>
          <a:ext cx="9144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F5B279-9307-4791-94A4-2C78AAB1E2F7}" type="TxLink">
            <a:rPr lang="en-US" sz="1100" b="0" i="0" u="none" strike="noStrike">
              <a:solidFill>
                <a:srgbClr val="000000"/>
              </a:solidFill>
              <a:latin typeface="Calibri"/>
              <a:ea typeface="Calibri"/>
              <a:cs typeface="Calibri"/>
            </a:rPr>
            <a:pPr algn="ctr"/>
            <a:t>780003.52</a:t>
          </a:fld>
          <a:endParaRPr lang="en-US" sz="1100" b="0" i="0" u="none" strike="noStrike">
            <a:solidFill>
              <a:srgbClr val="000000"/>
            </a:solidFill>
            <a:latin typeface="Calibri"/>
            <a:ea typeface="Calibri"/>
            <a:cs typeface="Calibri"/>
          </a:endParaRPr>
        </a:p>
      </xdr:txBody>
    </xdr:sp>
    <xdr:clientData/>
  </xdr:twoCellAnchor>
  <xdr:twoCellAnchor>
    <xdr:from>
      <xdr:col>14</xdr:col>
      <xdr:colOff>292100</xdr:colOff>
      <xdr:row>10</xdr:row>
      <xdr:rowOff>19050</xdr:rowOff>
    </xdr:from>
    <xdr:to>
      <xdr:col>15</xdr:col>
      <xdr:colOff>596900</xdr:colOff>
      <xdr:row>11</xdr:row>
      <xdr:rowOff>107950</xdr:rowOff>
    </xdr:to>
    <xdr:sp macro="" textlink="KPI!K6">
      <xdr:nvSpPr>
        <xdr:cNvPr id="52" name="TextBox 51">
          <a:extLst>
            <a:ext uri="{FF2B5EF4-FFF2-40B4-BE49-F238E27FC236}">
              <a16:creationId xmlns:a16="http://schemas.microsoft.com/office/drawing/2014/main" id="{711CA617-6C1E-44F2-995C-CBECF832F5C5}"/>
            </a:ext>
          </a:extLst>
        </xdr:cNvPr>
        <xdr:cNvSpPr txBox="1"/>
      </xdr:nvSpPr>
      <xdr:spPr>
        <a:xfrm>
          <a:off x="8826500" y="1860550"/>
          <a:ext cx="9144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C4D050-DB59-459D-A192-2ABF2B500B59}" type="TxLink">
            <a:rPr lang="en-US" sz="1100" b="0" i="0" u="none" strike="noStrike">
              <a:solidFill>
                <a:srgbClr val="000000"/>
              </a:solidFill>
              <a:latin typeface="Calibri"/>
              <a:ea typeface="Calibri"/>
              <a:cs typeface="Calibri"/>
            </a:rPr>
            <a:pPr algn="ctr"/>
            <a:t>28.85%</a:t>
          </a:fld>
          <a:endParaRPr lang="en-AE" sz="1100"/>
        </a:p>
      </xdr:txBody>
    </xdr:sp>
    <xdr:clientData/>
  </xdr:twoCellAnchor>
  <xdr:twoCellAnchor>
    <xdr:from>
      <xdr:col>12</xdr:col>
      <xdr:colOff>146050</xdr:colOff>
      <xdr:row>10</xdr:row>
      <xdr:rowOff>25400</xdr:rowOff>
    </xdr:from>
    <xdr:to>
      <xdr:col>13</xdr:col>
      <xdr:colOff>450850</xdr:colOff>
      <xdr:row>11</xdr:row>
      <xdr:rowOff>114300</xdr:rowOff>
    </xdr:to>
    <xdr:sp macro="" textlink="KPI!I6">
      <xdr:nvSpPr>
        <xdr:cNvPr id="53" name="TextBox 52">
          <a:extLst>
            <a:ext uri="{FF2B5EF4-FFF2-40B4-BE49-F238E27FC236}">
              <a16:creationId xmlns:a16="http://schemas.microsoft.com/office/drawing/2014/main" id="{68BFFA86-BE15-49AC-9DA1-BEBCDD15B524}"/>
            </a:ext>
          </a:extLst>
        </xdr:cNvPr>
        <xdr:cNvSpPr txBox="1"/>
      </xdr:nvSpPr>
      <xdr:spPr>
        <a:xfrm>
          <a:off x="7461250" y="1866900"/>
          <a:ext cx="9144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858171-08F7-45D5-ACE0-F92E0E150532}" type="TxLink">
            <a:rPr lang="en-US" sz="1100" b="0" i="0" u="none" strike="noStrike">
              <a:solidFill>
                <a:srgbClr val="000000"/>
              </a:solidFill>
              <a:latin typeface="Calibri"/>
              <a:ea typeface="Calibri"/>
              <a:cs typeface="Calibri"/>
            </a:rPr>
            <a:pPr algn="ctr"/>
            <a:t>7.94</a:t>
          </a:fld>
          <a:endParaRPr lang="en-US" sz="1100"/>
        </a:p>
      </xdr:txBody>
    </xdr:sp>
    <xdr:clientData/>
  </xdr:twoCellAnchor>
  <xdr:twoCellAnchor>
    <xdr:from>
      <xdr:col>9</xdr:col>
      <xdr:colOff>565150</xdr:colOff>
      <xdr:row>10</xdr:row>
      <xdr:rowOff>25400</xdr:rowOff>
    </xdr:from>
    <xdr:to>
      <xdr:col>11</xdr:col>
      <xdr:colOff>336550</xdr:colOff>
      <xdr:row>11</xdr:row>
      <xdr:rowOff>88900</xdr:rowOff>
    </xdr:to>
    <xdr:sp macro="" textlink="KPI!G6">
      <xdr:nvSpPr>
        <xdr:cNvPr id="55" name="TextBox 54">
          <a:extLst>
            <a:ext uri="{FF2B5EF4-FFF2-40B4-BE49-F238E27FC236}">
              <a16:creationId xmlns:a16="http://schemas.microsoft.com/office/drawing/2014/main" id="{989A89FA-0ECF-4524-ABD4-0511A75033D6}"/>
            </a:ext>
          </a:extLst>
        </xdr:cNvPr>
        <xdr:cNvSpPr txBox="1"/>
      </xdr:nvSpPr>
      <xdr:spPr>
        <a:xfrm>
          <a:off x="6051550" y="1866900"/>
          <a:ext cx="9906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DDD16A-C4A9-47D8-A980-9E1A81519DD0}" type="TxLink">
            <a:rPr lang="en-US" sz="1100" b="0" i="0" u="none" strike="noStrike">
              <a:solidFill>
                <a:srgbClr val="000000"/>
              </a:solidFill>
              <a:latin typeface="Calibri"/>
              <a:ea typeface="Calibri"/>
              <a:cs typeface="Calibri"/>
            </a:rPr>
            <a:pPr algn="ctr"/>
            <a:t>23117.01</a:t>
          </a:fld>
          <a:endParaRPr lang="en-US" sz="1100"/>
        </a:p>
      </xdr:txBody>
    </xdr:sp>
    <xdr:clientData/>
  </xdr:twoCellAnchor>
  <xdr:twoCellAnchor>
    <xdr:from>
      <xdr:col>7</xdr:col>
      <xdr:colOff>431800</xdr:colOff>
      <xdr:row>10</xdr:row>
      <xdr:rowOff>19050</xdr:rowOff>
    </xdr:from>
    <xdr:to>
      <xdr:col>9</xdr:col>
      <xdr:colOff>127000</xdr:colOff>
      <xdr:row>11</xdr:row>
      <xdr:rowOff>107950</xdr:rowOff>
    </xdr:to>
    <xdr:sp macro="" textlink="KPI!E6">
      <xdr:nvSpPr>
        <xdr:cNvPr id="56" name="TextBox 55">
          <a:extLst>
            <a:ext uri="{FF2B5EF4-FFF2-40B4-BE49-F238E27FC236}">
              <a16:creationId xmlns:a16="http://schemas.microsoft.com/office/drawing/2014/main" id="{BCCB0BC5-99FE-4CC5-B434-BA28E70263F3}"/>
            </a:ext>
          </a:extLst>
        </xdr:cNvPr>
        <xdr:cNvSpPr txBox="1"/>
      </xdr:nvSpPr>
      <xdr:spPr>
        <a:xfrm>
          <a:off x="4699000" y="1860550"/>
          <a:ext cx="9144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050742-C50E-42B4-836A-ABE6F6DCF98B}" type="TxLink">
            <a:rPr lang="en-US" sz="1100" b="0" i="0" u="none" strike="noStrike">
              <a:solidFill>
                <a:srgbClr val="000000"/>
              </a:solidFill>
              <a:latin typeface="Calibri"/>
              <a:ea typeface="Calibri"/>
              <a:cs typeface="Calibri"/>
            </a:rPr>
            <a:pPr algn="ctr"/>
            <a:t>80</a:t>
          </a:fld>
          <a:endParaRPr lang="en-AE" sz="1100"/>
        </a:p>
      </xdr:txBody>
    </xdr:sp>
    <xdr:clientData/>
  </xdr:twoCellAnchor>
  <xdr:twoCellAnchor>
    <xdr:from>
      <xdr:col>16</xdr:col>
      <xdr:colOff>387350</xdr:colOff>
      <xdr:row>10</xdr:row>
      <xdr:rowOff>19050</xdr:rowOff>
    </xdr:from>
    <xdr:to>
      <xdr:col>18</xdr:col>
      <xdr:colOff>82550</xdr:colOff>
      <xdr:row>11</xdr:row>
      <xdr:rowOff>107950</xdr:rowOff>
    </xdr:to>
    <xdr:sp macro="" textlink="KPI!A12">
      <xdr:nvSpPr>
        <xdr:cNvPr id="58" name="TextBox 57">
          <a:extLst>
            <a:ext uri="{FF2B5EF4-FFF2-40B4-BE49-F238E27FC236}">
              <a16:creationId xmlns:a16="http://schemas.microsoft.com/office/drawing/2014/main" id="{886C9D93-7112-4AB7-8685-DBDC089221C8}"/>
            </a:ext>
          </a:extLst>
        </xdr:cNvPr>
        <xdr:cNvSpPr txBox="1"/>
      </xdr:nvSpPr>
      <xdr:spPr>
        <a:xfrm>
          <a:off x="10140950" y="1860550"/>
          <a:ext cx="91440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D892A2-450D-43DB-9F82-ADCE8DE44297}" type="TxLink">
            <a:rPr lang="en-US" sz="1100" b="0" i="0" u="none" strike="noStrike">
              <a:solidFill>
                <a:srgbClr val="000000"/>
              </a:solidFill>
              <a:latin typeface="Calibri"/>
              <a:ea typeface="Calibri"/>
              <a:cs typeface="Calibri"/>
            </a:rPr>
            <a:pPr algn="ctr"/>
            <a:t>2.74</a:t>
          </a:fld>
          <a:endParaRPr lang="en-AE" sz="1100"/>
        </a:p>
      </xdr:txBody>
    </xdr:sp>
    <xdr:clientData/>
  </xdr:twoCellAnchor>
  <xdr:twoCellAnchor editAs="oneCell">
    <xdr:from>
      <xdr:col>11</xdr:col>
      <xdr:colOff>577850</xdr:colOff>
      <xdr:row>3</xdr:row>
      <xdr:rowOff>127000</xdr:rowOff>
    </xdr:from>
    <xdr:to>
      <xdr:col>14</xdr:col>
      <xdr:colOff>457200</xdr:colOff>
      <xdr:row>8</xdr:row>
      <xdr:rowOff>76200</xdr:rowOff>
    </xdr:to>
    <mc:AlternateContent xmlns:mc="http://schemas.openxmlformats.org/markup-compatibility/2006" xmlns:a14="http://schemas.microsoft.com/office/drawing/2010/main">
      <mc:Choice Requires="a14">
        <xdr:graphicFrame macro="">
          <xdr:nvGraphicFramePr>
            <xdr:cNvPr id="59" name="Payment_Mode">
              <a:extLst>
                <a:ext uri="{FF2B5EF4-FFF2-40B4-BE49-F238E27FC236}">
                  <a16:creationId xmlns:a16="http://schemas.microsoft.com/office/drawing/2014/main" id="{C09385FA-FF4E-4535-88D6-2C757845B623}"/>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7252406" y="677333"/>
              <a:ext cx="1699683" cy="86642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12</xdr:row>
      <xdr:rowOff>6350</xdr:rowOff>
    </xdr:from>
    <xdr:to>
      <xdr:col>8</xdr:col>
      <xdr:colOff>38100</xdr:colOff>
      <xdr:row>20</xdr:row>
      <xdr:rowOff>0</xdr:rowOff>
    </xdr:to>
    <xdr:graphicFrame macro="">
      <xdr:nvGraphicFramePr>
        <xdr:cNvPr id="61" name="Chart 60">
          <a:extLst>
            <a:ext uri="{FF2B5EF4-FFF2-40B4-BE49-F238E27FC236}">
              <a16:creationId xmlns:a16="http://schemas.microsoft.com/office/drawing/2014/main" id="{C8F94285-4192-42B6-85F2-7EF17ECB6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69850</xdr:colOff>
      <xdr:row>12</xdr:row>
      <xdr:rowOff>6350</xdr:rowOff>
    </xdr:from>
    <xdr:to>
      <xdr:col>12</xdr:col>
      <xdr:colOff>387350</xdr:colOff>
      <xdr:row>19</xdr:row>
      <xdr:rowOff>171450</xdr:rowOff>
    </xdr:to>
    <xdr:graphicFrame macro="">
      <xdr:nvGraphicFramePr>
        <xdr:cNvPr id="62" name="Chart 61">
          <a:extLst>
            <a:ext uri="{FF2B5EF4-FFF2-40B4-BE49-F238E27FC236}">
              <a16:creationId xmlns:a16="http://schemas.microsoft.com/office/drawing/2014/main" id="{9F7D468A-1EEF-4525-9472-397ED747B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406400</xdr:colOff>
      <xdr:row>12</xdr:row>
      <xdr:rowOff>0</xdr:rowOff>
    </xdr:from>
    <xdr:to>
      <xdr:col>18</xdr:col>
      <xdr:colOff>177800</xdr:colOff>
      <xdr:row>19</xdr:row>
      <xdr:rowOff>177800</xdr:rowOff>
    </xdr:to>
    <xdr:graphicFrame macro="">
      <xdr:nvGraphicFramePr>
        <xdr:cNvPr id="64" name="Chart 63">
          <a:extLst>
            <a:ext uri="{FF2B5EF4-FFF2-40B4-BE49-F238E27FC236}">
              <a16:creationId xmlns:a16="http://schemas.microsoft.com/office/drawing/2014/main" id="{8EA1A892-65D8-4170-BFF3-78AE9543B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260350</xdr:colOff>
      <xdr:row>20</xdr:row>
      <xdr:rowOff>31750</xdr:rowOff>
    </xdr:from>
    <xdr:to>
      <xdr:col>8</xdr:col>
      <xdr:colOff>501650</xdr:colOff>
      <xdr:row>29</xdr:row>
      <xdr:rowOff>127000</xdr:rowOff>
    </xdr:to>
    <xdr:graphicFrame macro="">
      <xdr:nvGraphicFramePr>
        <xdr:cNvPr id="65" name="Chart 64">
          <a:extLst>
            <a:ext uri="{FF2B5EF4-FFF2-40B4-BE49-F238E27FC236}">
              <a16:creationId xmlns:a16="http://schemas.microsoft.com/office/drawing/2014/main" id="{61A9C7A3-E289-4C1D-877B-DBF138BC9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533400</xdr:colOff>
      <xdr:row>20</xdr:row>
      <xdr:rowOff>19050</xdr:rowOff>
    </xdr:from>
    <xdr:to>
      <xdr:col>13</xdr:col>
      <xdr:colOff>565150</xdr:colOff>
      <xdr:row>29</xdr:row>
      <xdr:rowOff>101600</xdr:rowOff>
    </xdr:to>
    <xdr:graphicFrame macro="">
      <xdr:nvGraphicFramePr>
        <xdr:cNvPr id="67" name="Chart 66">
          <a:extLst>
            <a:ext uri="{FF2B5EF4-FFF2-40B4-BE49-F238E27FC236}">
              <a16:creationId xmlns:a16="http://schemas.microsoft.com/office/drawing/2014/main" id="{B33BBC4F-12EA-49F4-9181-76B32DB9E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603250</xdr:colOff>
      <xdr:row>20</xdr:row>
      <xdr:rowOff>25400</xdr:rowOff>
    </xdr:from>
    <xdr:to>
      <xdr:col>18</xdr:col>
      <xdr:colOff>190500</xdr:colOff>
      <xdr:row>29</xdr:row>
      <xdr:rowOff>76200</xdr:rowOff>
    </xdr:to>
    <xdr:graphicFrame macro="">
      <xdr:nvGraphicFramePr>
        <xdr:cNvPr id="71" name="Chart 70">
          <a:extLst>
            <a:ext uri="{FF2B5EF4-FFF2-40B4-BE49-F238E27FC236}">
              <a16:creationId xmlns:a16="http://schemas.microsoft.com/office/drawing/2014/main" id="{E37D93A9-9B71-4453-9E01-A7F918705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215900</xdr:colOff>
      <xdr:row>29</xdr:row>
      <xdr:rowOff>177800</xdr:rowOff>
    </xdr:from>
    <xdr:to>
      <xdr:col>18</xdr:col>
      <xdr:colOff>152400</xdr:colOff>
      <xdr:row>31</xdr:row>
      <xdr:rowOff>69850</xdr:rowOff>
    </xdr:to>
    <xdr:grpSp>
      <xdr:nvGrpSpPr>
        <xdr:cNvPr id="75" name="Group 74">
          <a:extLst>
            <a:ext uri="{FF2B5EF4-FFF2-40B4-BE49-F238E27FC236}">
              <a16:creationId xmlns:a16="http://schemas.microsoft.com/office/drawing/2014/main" id="{8CEC99C1-E094-4B34-F2BF-487622B64AB3}"/>
            </a:ext>
          </a:extLst>
        </xdr:cNvPr>
        <xdr:cNvGrpSpPr/>
      </xdr:nvGrpSpPr>
      <xdr:grpSpPr>
        <a:xfrm>
          <a:off x="2039257" y="5439229"/>
          <a:ext cx="9053286" cy="254907"/>
          <a:chOff x="2044700" y="5518150"/>
          <a:chExt cx="9080500" cy="260350"/>
        </a:xfrm>
      </xdr:grpSpPr>
      <xdr:sp macro="" textlink="">
        <xdr:nvSpPr>
          <xdr:cNvPr id="73" name="Rectangle: Rounded Corners 72">
            <a:extLst>
              <a:ext uri="{FF2B5EF4-FFF2-40B4-BE49-F238E27FC236}">
                <a16:creationId xmlns:a16="http://schemas.microsoft.com/office/drawing/2014/main" id="{CB27238A-9276-4D4A-840B-6F75D07B458D}"/>
              </a:ext>
            </a:extLst>
          </xdr:cNvPr>
          <xdr:cNvSpPr/>
        </xdr:nvSpPr>
        <xdr:spPr>
          <a:xfrm>
            <a:off x="2044700" y="5518150"/>
            <a:ext cx="9080500" cy="260350"/>
          </a:xfrm>
          <a:prstGeom prst="roundRect">
            <a:avLst>
              <a:gd name="adj" fmla="val 50000"/>
            </a:avLst>
          </a:prstGeom>
          <a:solidFill>
            <a:srgbClr val="D5FFD9"/>
          </a:solidFill>
          <a:ln>
            <a:noFill/>
          </a:ln>
          <a:effectLst>
            <a:softEdge rad="31750"/>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AE" sz="1100" b="1"/>
              <a:t>                Make Smarter Decisions with Real-time Sales Insights.</a:t>
            </a:r>
          </a:p>
        </xdr:txBody>
      </xdr:sp>
      <xdr:pic>
        <xdr:nvPicPr>
          <xdr:cNvPr id="74" name="Picture 73" descr="AI generated image">
            <a:extLst>
              <a:ext uri="{FF2B5EF4-FFF2-40B4-BE49-F238E27FC236}">
                <a16:creationId xmlns:a16="http://schemas.microsoft.com/office/drawing/2014/main" id="{5490DD6B-473B-4628-8FFC-4BD915A86E9E}"/>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2079" t="11025" r="6493" b="12064"/>
          <a:stretch>
            <a:fillRect/>
          </a:stretch>
        </xdr:blipFill>
        <xdr:spPr bwMode="auto">
          <a:xfrm>
            <a:off x="2286000" y="5568950"/>
            <a:ext cx="171450" cy="15682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76200</xdr:colOff>
      <xdr:row>3</xdr:row>
      <xdr:rowOff>63500</xdr:rowOff>
    </xdr:from>
    <xdr:to>
      <xdr:col>3</xdr:col>
      <xdr:colOff>165100</xdr:colOff>
      <xdr:row>5</xdr:row>
      <xdr:rowOff>88900</xdr:rowOff>
    </xdr:to>
    <xdr:grpSp>
      <xdr:nvGrpSpPr>
        <xdr:cNvPr id="76" name="Group 75">
          <a:extLst>
            <a:ext uri="{FF2B5EF4-FFF2-40B4-BE49-F238E27FC236}">
              <a16:creationId xmlns:a16="http://schemas.microsoft.com/office/drawing/2014/main" id="{BB5C2AB6-9953-4D84-9B7A-1340BEA85101}"/>
            </a:ext>
          </a:extLst>
        </xdr:cNvPr>
        <xdr:cNvGrpSpPr/>
      </xdr:nvGrpSpPr>
      <xdr:grpSpPr>
        <a:xfrm>
          <a:off x="683986" y="607786"/>
          <a:ext cx="1304471" cy="388257"/>
          <a:chOff x="4546600" y="4622800"/>
          <a:chExt cx="2247900" cy="774700"/>
        </a:xfrm>
      </xdr:grpSpPr>
      <xdr:sp macro="" textlink="">
        <xdr:nvSpPr>
          <xdr:cNvPr id="77" name="Rectangle: Rounded Corners 76">
            <a:hlinkClick xmlns:r="http://schemas.openxmlformats.org/officeDocument/2006/relationships" r:id="rId12"/>
            <a:extLst>
              <a:ext uri="{FF2B5EF4-FFF2-40B4-BE49-F238E27FC236}">
                <a16:creationId xmlns:a16="http://schemas.microsoft.com/office/drawing/2014/main" id="{0D745307-FF20-0CCE-9F76-AA7A9CA7F311}"/>
              </a:ext>
            </a:extLst>
          </xdr:cNvPr>
          <xdr:cNvSpPr/>
        </xdr:nvSpPr>
        <xdr:spPr>
          <a:xfrm>
            <a:off x="5067300" y="4819131"/>
            <a:ext cx="1727200" cy="578369"/>
          </a:xfrm>
          <a:prstGeom prst="roundRect">
            <a:avLst>
              <a:gd name="adj" fmla="val 50000"/>
            </a:avLst>
          </a:prstGeom>
          <a:noFill/>
          <a:ln w="28575">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Dashboard</a:t>
            </a:r>
          </a:p>
        </xdr:txBody>
      </xdr:sp>
      <xdr:pic>
        <xdr:nvPicPr>
          <xdr:cNvPr id="78" name="Graphic 77" descr="House with solid fill">
            <a:extLst>
              <a:ext uri="{FF2B5EF4-FFF2-40B4-BE49-F238E27FC236}">
                <a16:creationId xmlns:a16="http://schemas.microsoft.com/office/drawing/2014/main" id="{4970C5CD-B554-E96F-29B0-B526CCDCC4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546600" y="4622800"/>
            <a:ext cx="762000" cy="762000"/>
          </a:xfrm>
          <a:prstGeom prst="rect">
            <a:avLst/>
          </a:prstGeom>
        </xdr:spPr>
      </xdr:pic>
    </xdr:grpSp>
    <xdr:clientData/>
  </xdr:twoCellAnchor>
  <xdr:twoCellAnchor>
    <xdr:from>
      <xdr:col>1</xdr:col>
      <xdr:colOff>82549</xdr:colOff>
      <xdr:row>5</xdr:row>
      <xdr:rowOff>127000</xdr:rowOff>
    </xdr:from>
    <xdr:to>
      <xdr:col>3</xdr:col>
      <xdr:colOff>107950</xdr:colOff>
      <xdr:row>7</xdr:row>
      <xdr:rowOff>165100</xdr:rowOff>
    </xdr:to>
    <xdr:grpSp>
      <xdr:nvGrpSpPr>
        <xdr:cNvPr id="82" name="Group 81">
          <a:extLst>
            <a:ext uri="{FF2B5EF4-FFF2-40B4-BE49-F238E27FC236}">
              <a16:creationId xmlns:a16="http://schemas.microsoft.com/office/drawing/2014/main" id="{F0AEDA85-9747-4CEC-96E0-5FCBB1574A5C}"/>
            </a:ext>
          </a:extLst>
        </xdr:cNvPr>
        <xdr:cNvGrpSpPr/>
      </xdr:nvGrpSpPr>
      <xdr:grpSpPr>
        <a:xfrm>
          <a:off x="690335" y="1034143"/>
          <a:ext cx="1240972" cy="400957"/>
          <a:chOff x="4533901" y="5435600"/>
          <a:chExt cx="1940987" cy="705672"/>
        </a:xfrm>
      </xdr:grpSpPr>
      <xdr:sp macro="" textlink="">
        <xdr:nvSpPr>
          <xdr:cNvPr id="83" name="Rectangle: Rounded Corners 82">
            <a:hlinkClick xmlns:r="http://schemas.openxmlformats.org/officeDocument/2006/relationships" r:id="rId15"/>
            <a:extLst>
              <a:ext uri="{FF2B5EF4-FFF2-40B4-BE49-F238E27FC236}">
                <a16:creationId xmlns:a16="http://schemas.microsoft.com/office/drawing/2014/main" id="{B09D23C8-E400-9A1D-B793-885ADDBB55FC}"/>
              </a:ext>
            </a:extLst>
          </xdr:cNvPr>
          <xdr:cNvSpPr/>
        </xdr:nvSpPr>
        <xdr:spPr>
          <a:xfrm>
            <a:off x="5232400" y="5600700"/>
            <a:ext cx="1242488" cy="444500"/>
          </a:xfrm>
          <a:prstGeom prst="roundRect">
            <a:avLst>
              <a:gd name="adj" fmla="val 50000"/>
            </a:avLst>
          </a:prstGeom>
          <a:noFill/>
          <a:ln w="28575">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Analysis</a:t>
            </a:r>
          </a:p>
        </xdr:txBody>
      </xdr:sp>
      <xdr:pic>
        <xdr:nvPicPr>
          <xdr:cNvPr id="84" name="Graphic 83" descr="Presentation with bar chart with solid fill">
            <a:extLst>
              <a:ext uri="{FF2B5EF4-FFF2-40B4-BE49-F238E27FC236}">
                <a16:creationId xmlns:a16="http://schemas.microsoft.com/office/drawing/2014/main" id="{BA976C82-AC85-79C0-F365-73A2E48BE94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533901" y="5435600"/>
            <a:ext cx="698499" cy="705672"/>
          </a:xfrm>
          <a:prstGeom prst="rect">
            <a:avLst/>
          </a:prstGeom>
        </xdr:spPr>
      </xdr:pic>
    </xdr:grpSp>
    <xdr:clientData/>
  </xdr:twoCellAnchor>
  <xdr:twoCellAnchor>
    <xdr:from>
      <xdr:col>1</xdr:col>
      <xdr:colOff>152399</xdr:colOff>
      <xdr:row>8</xdr:row>
      <xdr:rowOff>31750</xdr:rowOff>
    </xdr:from>
    <xdr:to>
      <xdr:col>2</xdr:col>
      <xdr:colOff>603250</xdr:colOff>
      <xdr:row>10</xdr:row>
      <xdr:rowOff>57150</xdr:rowOff>
    </xdr:to>
    <xdr:grpSp>
      <xdr:nvGrpSpPr>
        <xdr:cNvPr id="85" name="Group 84">
          <a:extLst>
            <a:ext uri="{FF2B5EF4-FFF2-40B4-BE49-F238E27FC236}">
              <a16:creationId xmlns:a16="http://schemas.microsoft.com/office/drawing/2014/main" id="{B2370AD7-413B-4693-A00C-3E43992FA595}"/>
            </a:ext>
          </a:extLst>
        </xdr:cNvPr>
        <xdr:cNvGrpSpPr/>
      </xdr:nvGrpSpPr>
      <xdr:grpSpPr>
        <a:xfrm>
          <a:off x="760185" y="1483179"/>
          <a:ext cx="1058636" cy="388257"/>
          <a:chOff x="4648200" y="6413500"/>
          <a:chExt cx="1667955" cy="533400"/>
        </a:xfrm>
      </xdr:grpSpPr>
      <xdr:sp macro="" textlink="">
        <xdr:nvSpPr>
          <xdr:cNvPr id="86" name="Rectangle: Rounded Corners 85">
            <a:extLst>
              <a:ext uri="{FF2B5EF4-FFF2-40B4-BE49-F238E27FC236}">
                <a16:creationId xmlns:a16="http://schemas.microsoft.com/office/drawing/2014/main" id="{8EB3084A-D403-16D6-49CB-DB574C2FBA36}"/>
              </a:ext>
            </a:extLst>
          </xdr:cNvPr>
          <xdr:cNvSpPr/>
        </xdr:nvSpPr>
        <xdr:spPr>
          <a:xfrm>
            <a:off x="5092700" y="6527800"/>
            <a:ext cx="1223455" cy="323751"/>
          </a:xfrm>
          <a:prstGeom prst="roundRect">
            <a:avLst>
              <a:gd name="adj" fmla="val 50000"/>
            </a:avLst>
          </a:prstGeom>
          <a:noFill/>
          <a:ln w="28575">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Data</a:t>
            </a:r>
          </a:p>
        </xdr:txBody>
      </xdr:sp>
      <xdr:pic>
        <xdr:nvPicPr>
          <xdr:cNvPr id="87" name="Graphic 86" descr="Database with solid fill">
            <a:extLst>
              <a:ext uri="{FF2B5EF4-FFF2-40B4-BE49-F238E27FC236}">
                <a16:creationId xmlns:a16="http://schemas.microsoft.com/office/drawing/2014/main" id="{9FA9B8AB-53AB-3331-CACB-A3B6C445659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648200" y="6413500"/>
            <a:ext cx="533400" cy="533400"/>
          </a:xfrm>
          <a:prstGeom prst="rect">
            <a:avLst/>
          </a:prstGeom>
        </xdr:spPr>
      </xdr:pic>
    </xdr:grpSp>
    <xdr:clientData/>
  </xdr:twoCellAnchor>
  <xdr:twoCellAnchor>
    <xdr:from>
      <xdr:col>1</xdr:col>
      <xdr:colOff>6350</xdr:colOff>
      <xdr:row>25</xdr:row>
      <xdr:rowOff>57150</xdr:rowOff>
    </xdr:from>
    <xdr:to>
      <xdr:col>2</xdr:col>
      <xdr:colOff>476250</xdr:colOff>
      <xdr:row>30</xdr:row>
      <xdr:rowOff>134056</xdr:rowOff>
    </xdr:to>
    <xdr:sp macro="" textlink="">
      <xdr:nvSpPr>
        <xdr:cNvPr id="88" name="Rectangle: Rounded Corners 87">
          <a:extLst>
            <a:ext uri="{FF2B5EF4-FFF2-40B4-BE49-F238E27FC236}">
              <a16:creationId xmlns:a16="http://schemas.microsoft.com/office/drawing/2014/main" id="{88F84CA0-CE8A-4008-8F1C-950EC07DE3DC}"/>
            </a:ext>
          </a:extLst>
        </xdr:cNvPr>
        <xdr:cNvSpPr/>
      </xdr:nvSpPr>
      <xdr:spPr>
        <a:xfrm>
          <a:off x="613128" y="4643261"/>
          <a:ext cx="1076678" cy="994128"/>
        </a:xfrm>
        <a:prstGeom prst="roundRect">
          <a:avLst/>
        </a:prstGeom>
        <a:solidFill>
          <a:schemeClr val="tx2">
            <a:lumMod val="50000"/>
          </a:schemeClr>
        </a:solidFill>
        <a:ln w="3175">
          <a:solidFill>
            <a:schemeClr val="tx2">
              <a:lumMod val="75000"/>
              <a:lumOff val="25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br>
            <a:rPr lang="en-AE" sz="1100"/>
          </a:br>
          <a:endParaRPr lang="en-AE" sz="1100"/>
        </a:p>
        <a:p>
          <a:pPr algn="l"/>
          <a:r>
            <a:rPr lang="en-AE" sz="900" b="1"/>
            <a:t>Insight Today,</a:t>
          </a:r>
          <a:br>
            <a:rPr lang="en-AE" sz="900" b="1"/>
          </a:br>
          <a:r>
            <a:rPr lang="en-AE" sz="900" b="1"/>
            <a:t>Growth Tomorrow.</a:t>
          </a:r>
        </a:p>
      </xdr:txBody>
    </xdr:sp>
    <xdr:clientData/>
  </xdr:twoCellAnchor>
  <xdr:twoCellAnchor editAs="oneCell">
    <xdr:from>
      <xdr:col>1</xdr:col>
      <xdr:colOff>101600</xdr:colOff>
      <xdr:row>25</xdr:row>
      <xdr:rowOff>139700</xdr:rowOff>
    </xdr:from>
    <xdr:to>
      <xdr:col>1</xdr:col>
      <xdr:colOff>342900</xdr:colOff>
      <xdr:row>27</xdr:row>
      <xdr:rowOff>4656</xdr:rowOff>
    </xdr:to>
    <xdr:pic>
      <xdr:nvPicPr>
        <xdr:cNvPr id="90" name="Graphic 89" descr="Lightbulb and gear with solid fill">
          <a:extLst>
            <a:ext uri="{FF2B5EF4-FFF2-40B4-BE49-F238E27FC236}">
              <a16:creationId xmlns:a16="http://schemas.microsoft.com/office/drawing/2014/main" id="{B38412BA-90A5-4937-B3F2-DAFD01CF6C1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11200" y="4743450"/>
          <a:ext cx="241300" cy="23325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7.42055023148" createdVersion="8" refreshedVersion="8" minRefreshableVersion="3" recordCount="80" xr:uid="{F820D0BD-CF2D-4824-AB8C-01D667CD88A9}">
  <cacheSource type="worksheet">
    <worksheetSource ref="A3:P83" sheet="Clean Data"/>
  </cacheSource>
  <cacheFields count="16">
    <cacheField name="Order_ID" numFmtId="0">
      <sharedItems/>
    </cacheField>
    <cacheField name="Order_Date" numFmtId="14">
      <sharedItems containsSemiMixedTypes="0" containsNonDate="0" containsDate="1" containsString="0" minDate="2026-01-01T00:00:00" maxDate="2026-07-01T00:00:00"/>
    </cacheField>
    <cacheField name="Customer" numFmtId="0">
      <sharedItems/>
    </cacheField>
    <cacheField name="Product" numFmtId="0">
      <sharedItems/>
    </cacheField>
    <cacheField name="Category" numFmtId="0">
      <sharedItems/>
    </cacheField>
    <cacheField name="Region" numFmtId="0">
      <sharedItems count="5">
        <s v="North"/>
        <s v="South"/>
        <s v="East"/>
        <s v="West"/>
        <s v="UnKnown"/>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acheField>
    <cacheField name="Month_No" numFmtId="0">
      <sharedItems containsSemiMixedTypes="0" containsString="0" containsNumber="1" containsInteger="1" minValue="1" maxValue="6"/>
    </cacheField>
    <cacheField name="Profit_Margin_%" numFmtId="10">
      <sharedItems containsSemiMixedTypes="0" containsString="0" containsNumber="1" minValue="0.18747002398081536" maxValue="0.37712131361225265"/>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Autorefresh</xxpvi:lastRefreshFeature>
      </xxpvi:cacheVersionInfo>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7.420550347226" createdVersion="8" refreshedVersion="8" minRefreshableVersion="3" recordCount="80" xr:uid="{FEFB8262-E863-406A-A8A4-762725A21B0D}">
  <cacheSource type="worksheet">
    <worksheetSource ref="A3:P83" sheet="Clean Data"/>
  </cacheSource>
  <cacheFields count="16">
    <cacheField name="Order_ID" numFmtId="0">
      <sharedItems/>
    </cacheField>
    <cacheField name="Order_Date" numFmtId="14">
      <sharedItems containsSemiMixedTypes="0" containsNonDate="0" containsDate="1" containsString="0" minDate="2026-01-01T00:00:00" maxDate="2026-07-01T00:00:00"/>
    </cacheField>
    <cacheField name="Customer" numFmtId="0">
      <sharedItems/>
    </cacheField>
    <cacheField name="Product" numFmtId="0">
      <sharedItems/>
    </cacheField>
    <cacheField name="Category" numFmtId="0">
      <sharedItems/>
    </cacheField>
    <cacheField name="Region"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ount="4">
        <s v="Cash"/>
        <s v="UPI"/>
        <s v="Net Banking"/>
        <s v="Card"/>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acheField>
    <cacheField name="Month_No" numFmtId="0">
      <sharedItems containsSemiMixedTypes="0" containsString="0" containsNumber="1" containsInteger="1" minValue="1" maxValue="6"/>
    </cacheField>
    <cacheField name="Profit_Margin_%" numFmtId="10">
      <sharedItems containsSemiMixedTypes="0" containsString="0" containsNumber="1" minValue="0.18747002398081536" maxValue="0.37712131361225265"/>
    </cacheField>
  </cacheFields>
  <extLst>
    <ext xmlns:x14="http://schemas.microsoft.com/office/spreadsheetml/2009/9/main" uri="{725AE2AE-9491-48be-B2B4-4EB974FC3084}">
      <x14:pivotCacheDefinition pivotCacheId="340228746"/>
    </ext>
    <ext xmlns:xxpvi="http://schemas.microsoft.com/office/spreadsheetml/2022/pivotVersionInfo" uri="{9F748A41-CAEA-4470-BF7A-CE61E8FFA7F9}">
      <xxpvi:cacheVersionInfo>
        <xxpvi:lastRefreshFeature>Autorefresh</xxpvi:lastRefreshFeature>
      </xxpvi:cacheVersionInfo>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7.420550462964" createdVersion="8" refreshedVersion="8" minRefreshableVersion="3" recordCount="80" xr:uid="{068357AB-BA22-4ECC-B36F-DF49EB3D4B2A}">
  <cacheSource type="worksheet">
    <worksheetSource ref="A3:P83" sheet="Clean Data"/>
  </cacheSource>
  <cacheFields count="16">
    <cacheField name="Order_ID" numFmtId="0">
      <sharedItems/>
    </cacheField>
    <cacheField name="Order_Date" numFmtId="14">
      <sharedItems containsSemiMixedTypes="0" containsNonDate="0" containsDate="1" containsString="0" minDate="2026-01-01T00:00:00" maxDate="2026-07-01T00:00:00"/>
    </cacheField>
    <cacheField name="Customer" numFmtId="0">
      <sharedItems/>
    </cacheField>
    <cacheField name="Product" numFmtId="0">
      <sharedItems/>
    </cacheField>
    <cacheField name="Category" numFmtId="0">
      <sharedItems/>
    </cacheField>
    <cacheField name="Region"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ount="4">
        <s v="Cash"/>
        <s v="UPI"/>
        <s v="Net Banking"/>
        <s v="Card"/>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ount="6">
        <s v="Jan"/>
        <s v="Feb"/>
        <s v="Mar"/>
        <s v="Apr"/>
        <s v="May"/>
        <s v="Jun"/>
      </sharedItems>
    </cacheField>
    <cacheField name="Month_No" numFmtId="0">
      <sharedItems containsSemiMixedTypes="0" containsString="0" containsNumber="1" containsInteger="1" minValue="1" maxValue="6"/>
    </cacheField>
    <cacheField name="Profit_Margin_%" numFmtId="10">
      <sharedItems containsSemiMixedTypes="0" containsString="0" containsNumber="1" minValue="0.18747002398081536" maxValue="0.37712131361225265"/>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Autorefresh</xxpvi:lastRefreshFeature>
      </xxpvi:cacheVersionInfo>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7.420550694442" createdVersion="8" refreshedVersion="8" minRefreshableVersion="3" recordCount="80" xr:uid="{36C5629A-3593-4496-8C05-11E4FBBDC3F9}">
  <cacheSource type="worksheet">
    <worksheetSource ref="A3:P83" sheet="Clean Data"/>
  </cacheSource>
  <cacheFields count="18">
    <cacheField name="Order_ID" numFmtId="0">
      <sharedItems/>
    </cacheField>
    <cacheField name="Order_Date" numFmtId="14">
      <sharedItems containsSemiMixedTypes="0" containsNonDate="0" containsDate="1" containsString="0" minDate="2026-01-01T00:00:00" maxDate="2026-07-01T00:00:00" count="80">
        <d v="2026-01-01T00:00:00"/>
        <d v="2026-01-03T06:41:01"/>
        <d v="2026-01-05T13:22:02"/>
        <d v="2026-01-07T20:03:02"/>
        <d v="2026-01-10T02:44:03"/>
        <d v="2026-01-12T09:25:04"/>
        <d v="2026-01-14T16:06:05"/>
        <d v="2026-01-16T22:47:05"/>
        <d v="2026-01-19T05:28:06"/>
        <d v="2026-01-21T12:09:07"/>
        <d v="2026-01-23T18:50:08"/>
        <d v="2026-01-26T01:31:08"/>
        <d v="2026-01-28T08:12:09"/>
        <d v="2026-01-30T14:53:10"/>
        <d v="2026-02-01T21:34:11"/>
        <d v="2026-02-04T04:15:11"/>
        <d v="2026-02-06T10:56:12"/>
        <d v="2026-02-08T17:37:13"/>
        <d v="2026-02-11T00:18:14"/>
        <d v="2026-02-13T06:59:14"/>
        <d v="2026-02-15T13:40:15"/>
        <d v="2026-02-17T20:21:16"/>
        <d v="2026-02-20T03:02:17"/>
        <d v="2026-02-22T09:43:17"/>
        <d v="2026-02-24T16:24:18"/>
        <d v="2026-02-26T23:05:19"/>
        <d v="2026-03-01T05:46:20"/>
        <d v="2026-03-03T12:27:21"/>
        <d v="2026-03-05T19:08:21"/>
        <d v="2026-03-08T01:49:22"/>
        <d v="2026-03-10T08:30:23"/>
        <d v="2026-03-12T15:11:24"/>
        <d v="2026-03-14T21:52:24"/>
        <d v="2026-03-17T04:33:25"/>
        <d v="2026-03-19T11:14:26"/>
        <d v="2026-03-21T17:55:27"/>
        <d v="2026-03-24T00:36:27"/>
        <d v="2026-03-26T07:17:28"/>
        <d v="2026-03-28T13:58:29"/>
        <d v="2026-03-30T20:39:30"/>
        <d v="2026-04-02T03:20:30"/>
        <d v="2026-04-04T10:01:31"/>
        <d v="2026-04-06T16:42:32"/>
        <d v="2026-04-08T23:23:33"/>
        <d v="2026-04-11T06:04:33"/>
        <d v="2026-04-13T12:45:34"/>
        <d v="2026-04-15T19:26:35"/>
        <d v="2026-04-18T02:07:36"/>
        <d v="2026-04-20T08:48:36"/>
        <d v="2026-04-22T15:29:37"/>
        <d v="2026-04-24T22:10:38"/>
        <d v="2026-04-27T04:51:39"/>
        <d v="2026-04-29T11:32:39"/>
        <d v="2026-05-01T18:13:40"/>
        <d v="2026-05-04T00:54:41"/>
        <d v="2026-05-06T07:35:42"/>
        <d v="2026-05-08T14:16:43"/>
        <d v="2026-05-10T20:57:43"/>
        <d v="2026-05-13T03:38:44"/>
        <d v="2026-05-15T10:19:45"/>
        <d v="2026-05-17T17:00:46"/>
        <d v="2026-05-19T23:41:46"/>
        <d v="2026-05-22T06:22:47"/>
        <d v="2026-05-24T13:03:48"/>
        <d v="2026-05-26T19:44:49"/>
        <d v="2026-05-29T02:25:49"/>
        <d v="2026-05-31T09:06:50"/>
        <d v="2026-06-02T15:47:51"/>
        <d v="2026-06-04T22:28:52"/>
        <d v="2026-06-07T05:09:52"/>
        <d v="2026-06-09T11:50:53"/>
        <d v="2026-06-11T18:31:54"/>
        <d v="2026-06-14T01:12:55"/>
        <d v="2026-06-16T07:53:55"/>
        <d v="2026-06-18T14:34:56"/>
        <d v="2026-06-20T21:15:57"/>
        <d v="2026-06-23T03:56:58"/>
        <d v="2026-06-25T10:37:58"/>
        <d v="2026-06-27T17:18:59"/>
        <d v="2026-06-30T00:00:00"/>
      </sharedItems>
      <fieldGroup par="17"/>
    </cacheField>
    <cacheField name="Customer" numFmtId="0">
      <sharedItems/>
    </cacheField>
    <cacheField name="Product" numFmtId="0">
      <sharedItems count="5">
        <s v="Monitor"/>
        <s v="Headset"/>
        <s v="Keyboard"/>
        <s v="Mouse"/>
        <s v="Laptop"/>
      </sharedItems>
    </cacheField>
    <cacheField name="Category" numFmtId="0">
      <sharedItems count="2">
        <s v="Electronics"/>
        <s v="Accessories"/>
      </sharedItems>
    </cacheField>
    <cacheField name="Region" numFmtId="0">
      <sharedItems count="5">
        <s v="North"/>
        <s v="South"/>
        <s v="East"/>
        <s v="West"/>
        <s v="UnKnown"/>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ount="5">
        <s v="Cash"/>
        <s v="UPI"/>
        <s v="Net Banking"/>
        <s v="Card"/>
        <s v="Card " u="1"/>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ount="6">
        <s v="Jan"/>
        <s v="Feb"/>
        <s v="Mar"/>
        <s v="Apr"/>
        <s v="May"/>
        <s v="Jun"/>
      </sharedItems>
    </cacheField>
    <cacheField name="Month_No" numFmtId="0">
      <sharedItems containsSemiMixedTypes="0" containsString="0" containsNumber="1" containsInteger="1" minValue="1" maxValue="6"/>
    </cacheField>
    <cacheField name="Profit_Margin_%" numFmtId="10">
      <sharedItems containsSemiMixedTypes="0" containsString="0" containsNumber="1" minValue="0.18747002398081536" maxValue="0.37712131361225265"/>
    </cacheField>
    <cacheField name="Days (Order_Date)" numFmtId="0" databaseField="0">
      <fieldGroup base="1">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Order_Date)" numFmtId="0" databaseField="0">
      <fieldGroup base="1">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2106293688"/>
    </ext>
    <ext xmlns:xxpvi="http://schemas.microsoft.com/office/spreadsheetml/2022/pivotVersionInfo" uri="{9F748A41-CAEA-4470-BF7A-CE61E8FFA7F9}">
      <xxpvi:cacheVersionInfo>
        <xxpvi:lastRefreshFeature>Autorefresh</xxpvi:lastRefreshFeature>
      </xxpvi:cacheVersionInfo>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d v="2026-01-01T00:00:00"/>
    <s v="C1001"/>
    <s v="Monitor"/>
    <s v="Electronics"/>
    <x v="0"/>
    <n v="3"/>
    <n v="13962"/>
    <n v="0"/>
    <s v="Cash"/>
    <n v="41886"/>
    <n v="28238.14"/>
    <n v="13647.86"/>
    <s v="Jan"/>
    <n v="1"/>
    <n v="0.32583345270496111"/>
  </r>
  <r>
    <s v="ORD10002"/>
    <d v="2026-01-03T06:41:01"/>
    <s v="C1002"/>
    <s v="Headset"/>
    <s v="Accessories"/>
    <x v="0"/>
    <n v="1"/>
    <n v="3480"/>
    <n v="5"/>
    <s v="UPI"/>
    <n v="3306"/>
    <n v="2339.9699999999998"/>
    <n v="966.03"/>
    <s v="Jan"/>
    <n v="1"/>
    <n v="0.29220508166969145"/>
  </r>
  <r>
    <s v="ORD10003"/>
    <d v="2026-01-05T13:22:02"/>
    <s v="C1003"/>
    <s v="Keyboard"/>
    <s v="Accessories"/>
    <x v="0"/>
    <n v="2"/>
    <n v="2160"/>
    <n v="10"/>
    <s v="Cash"/>
    <n v="3888"/>
    <n v="2471.5700000000002"/>
    <n v="1416.43"/>
    <s v="Jan"/>
    <n v="1"/>
    <n v="0.36430812757201647"/>
  </r>
  <r>
    <s v="ORD10004"/>
    <d v="2026-01-07T20:03:02"/>
    <s v="C1004"/>
    <s v="Headset"/>
    <s v="Accessories"/>
    <x v="1"/>
    <n v="2"/>
    <n v="3379"/>
    <n v="5"/>
    <s v="Cash"/>
    <n v="6420.1"/>
    <n v="4013.01"/>
    <n v="2407.09"/>
    <s v="Jan"/>
    <n v="1"/>
    <n v="0.37493029703587172"/>
  </r>
  <r>
    <s v="ORD10005"/>
    <d v="2026-01-10T02:44:03"/>
    <s v="C1005"/>
    <s v="Headset"/>
    <s v="Accessories"/>
    <x v="0"/>
    <n v="4"/>
    <n v="3197"/>
    <n v="10"/>
    <s v="UPI"/>
    <n v="11509.2"/>
    <n v="9351.57"/>
    <n v="2157.63"/>
    <s v="Jan"/>
    <n v="1"/>
    <n v="0.18747002398081536"/>
  </r>
  <r>
    <s v="ORD10006"/>
    <d v="2026-01-12T09:25:04"/>
    <s v="C1006"/>
    <s v="Mouse"/>
    <s v="Accessories"/>
    <x v="0"/>
    <n v="5"/>
    <n v="1276"/>
    <n v="5"/>
    <s v="Net Banking"/>
    <n v="6061"/>
    <n v="4771.2"/>
    <n v="1289.8"/>
    <s v="Jan"/>
    <n v="1"/>
    <n v="0.21280316779409339"/>
  </r>
  <r>
    <s v="ORD10007"/>
    <d v="2026-01-14T16:06:05"/>
    <s v="C1007"/>
    <s v="Keyboard"/>
    <s v="Accessories"/>
    <x v="0"/>
    <n v="1"/>
    <n v="2503"/>
    <n v="0"/>
    <s v="UPI"/>
    <n v="2503"/>
    <n v="1900.26"/>
    <n v="602.74"/>
    <s v="Jan"/>
    <n v="1"/>
    <n v="0.24080703156212546"/>
  </r>
  <r>
    <s v="ORD10008"/>
    <d v="2026-01-16T22:47:05"/>
    <s v="C1008"/>
    <s v="Keyboard"/>
    <s v="Accessories"/>
    <x v="2"/>
    <n v="1"/>
    <n v="2391"/>
    <n v="15"/>
    <s v="Net Banking"/>
    <n v="2032.35"/>
    <n v="1426.28"/>
    <n v="606.07000000000005"/>
    <s v="Jan"/>
    <n v="1"/>
    <n v="0.2982114301178439"/>
  </r>
  <r>
    <s v="ORD10009"/>
    <d v="2026-01-19T05:28:06"/>
    <s v="C1009"/>
    <s v="Keyboard"/>
    <s v="Accessories"/>
    <x v="0"/>
    <n v="3"/>
    <n v="2134"/>
    <n v="0"/>
    <s v="UPI"/>
    <n v="6402"/>
    <n v="4191.13"/>
    <n v="2210.87"/>
    <s v="Jan"/>
    <n v="1"/>
    <n v="0.34534051858794124"/>
  </r>
  <r>
    <s v="ORD10010"/>
    <d v="2026-01-21T12:09:07"/>
    <s v="C1010"/>
    <s v="Headset"/>
    <s v="Accessories"/>
    <x v="3"/>
    <n v="2"/>
    <n v="2994"/>
    <n v="15"/>
    <s v="Cash"/>
    <n v="5089.8"/>
    <n v="3314.92"/>
    <n v="1774.88"/>
    <s v="Jan"/>
    <n v="1"/>
    <n v="0.34871311249950881"/>
  </r>
  <r>
    <s v="ORD10011"/>
    <d v="2026-01-23T18:50:08"/>
    <s v="C1011"/>
    <s v="Monitor"/>
    <s v="Electronics"/>
    <x v="0"/>
    <n v="5"/>
    <n v="14200"/>
    <n v="5"/>
    <s v="Cash"/>
    <n v="67450"/>
    <n v="45194.78"/>
    <n v="22255.22"/>
    <s v="Jan"/>
    <n v="1"/>
    <n v="0.329951371386212"/>
  </r>
  <r>
    <s v="ORD10012"/>
    <d v="2026-01-26T01:31:08"/>
    <s v="C1012"/>
    <s v="Keyboard"/>
    <s v="Accessories"/>
    <x v="3"/>
    <n v="4"/>
    <n v="2639"/>
    <n v="10"/>
    <s v="Card"/>
    <n v="9500.4"/>
    <n v="6933.82"/>
    <n v="2566.58"/>
    <s v="Jan"/>
    <n v="1"/>
    <n v="0.27015494084459601"/>
  </r>
  <r>
    <s v="ORD10013"/>
    <d v="2026-01-28T08:12:09"/>
    <s v="C1013"/>
    <s v="Headset"/>
    <s v="Accessories"/>
    <x v="3"/>
    <n v="2"/>
    <n v="2832"/>
    <n v="0"/>
    <s v="Net Banking"/>
    <n v="5664"/>
    <n v="4321.17"/>
    <n v="1342.83"/>
    <s v="Jan"/>
    <n v="1"/>
    <n v="0.23708156779661016"/>
  </r>
  <r>
    <s v="ORD10014"/>
    <d v="2026-01-30T14:53:10"/>
    <s v="C1014"/>
    <s v="Mouse"/>
    <s v="Accessories"/>
    <x v="3"/>
    <n v="4"/>
    <n v="1687"/>
    <n v="15"/>
    <s v="Card"/>
    <n v="5735.8"/>
    <n v="4313.55"/>
    <n v="1422.25"/>
    <s v="Jan"/>
    <n v="1"/>
    <n v="0.24796017992259142"/>
  </r>
  <r>
    <s v="ORD10015"/>
    <d v="2026-02-01T21:34:11"/>
    <s v="C1015"/>
    <s v="Monitor"/>
    <s v="Electronics"/>
    <x v="2"/>
    <n v="3"/>
    <n v="14259"/>
    <n v="0"/>
    <s v="Card"/>
    <n v="42777"/>
    <n v="28916.69"/>
    <n v="13860.31"/>
    <s v="Feb"/>
    <n v="2"/>
    <n v="0.32401313790120856"/>
  </r>
  <r>
    <s v="ORD10016"/>
    <d v="2026-02-04T04:15:11"/>
    <s v="C1016"/>
    <s v="Mouse"/>
    <s v="Accessories"/>
    <x v="2"/>
    <n v="3"/>
    <n v="1469"/>
    <n v="15"/>
    <s v="UPI"/>
    <n v="3745.95"/>
    <n v="3037.86"/>
    <n v="708.09"/>
    <s v="Feb"/>
    <n v="2"/>
    <n v="0.18902815040243465"/>
  </r>
  <r>
    <s v="ORD10017"/>
    <d v="2026-02-06T10:56:12"/>
    <s v="C1017"/>
    <s v="Monitor"/>
    <s v="Electronics"/>
    <x v="2"/>
    <n v="1"/>
    <n v="14174"/>
    <n v="0"/>
    <s v="Card"/>
    <n v="14174"/>
    <n v="10879.67"/>
    <n v="3294.33"/>
    <s v="Feb"/>
    <n v="2"/>
    <n v="0.23242062932129251"/>
  </r>
  <r>
    <s v="ORD10018"/>
    <d v="2026-02-08T17:37:13"/>
    <s v="C1018"/>
    <s v="Headset"/>
    <s v="Accessories"/>
    <x v="0"/>
    <n v="5"/>
    <n v="2821"/>
    <n v="15"/>
    <s v="UPI"/>
    <n v="11989.25"/>
    <n v="8762.59"/>
    <n v="3226.66"/>
    <s v="Feb"/>
    <n v="2"/>
    <n v="0.26912942844631649"/>
  </r>
  <r>
    <s v="ORD10019"/>
    <d v="2026-02-11T00:18:14"/>
    <s v="C1019"/>
    <s v="Laptop"/>
    <s v="Electronics"/>
    <x v="3"/>
    <n v="4"/>
    <n v="55469"/>
    <n v="15"/>
    <s v="UPI"/>
    <n v="188594.6"/>
    <n v="140002.1"/>
    <n v="48592.5"/>
    <s v="Feb"/>
    <n v="2"/>
    <n v="0.25765583956274463"/>
  </r>
  <r>
    <s v="ORD10020"/>
    <d v="2026-02-13T06:59:14"/>
    <s v="C1020"/>
    <s v="Monitor"/>
    <s v="Electronics"/>
    <x v="2"/>
    <n v="2"/>
    <n v="13837"/>
    <n v="5"/>
    <s v="Card"/>
    <n v="26290.3"/>
    <n v="18506.27"/>
    <n v="7784.03"/>
    <s v="Feb"/>
    <n v="2"/>
    <n v="0.29607992301343083"/>
  </r>
  <r>
    <s v="ORD10021"/>
    <d v="2026-02-15T13:40:15"/>
    <s v="C1021"/>
    <s v="Mouse"/>
    <s v="Accessories"/>
    <x v="2"/>
    <n v="3"/>
    <n v="1229"/>
    <n v="15"/>
    <s v="Net Banking"/>
    <n v="3133.95"/>
    <n v="2098.3200000000002"/>
    <n v="1035.6300000000001"/>
    <s v="Feb"/>
    <n v="2"/>
    <n v="0.33045517637486244"/>
  </r>
  <r>
    <s v="ORD10022"/>
    <d v="2026-02-17T20:21:16"/>
    <s v="C1022"/>
    <s v="Headset"/>
    <s v="Accessories"/>
    <x v="0"/>
    <n v="1"/>
    <n v="3164"/>
    <n v="5"/>
    <s v="Net Banking"/>
    <n v="3005.8"/>
    <n v="2077.59"/>
    <n v="928.21"/>
    <s v="Feb"/>
    <n v="2"/>
    <n v="0.30880630780491047"/>
  </r>
  <r>
    <s v="ORD10023"/>
    <d v="2026-02-20T03:02:17"/>
    <s v="C1023"/>
    <s v="Mouse"/>
    <s v="Electronics"/>
    <x v="2"/>
    <n v="1"/>
    <n v="14362"/>
    <n v="15"/>
    <s v="Net Banking"/>
    <n v="12207.7"/>
    <n v="9419.09"/>
    <n v="2788.61"/>
    <s v="Feb"/>
    <n v="2"/>
    <n v="0.2284304168680423"/>
  </r>
  <r>
    <s v="ORD10024"/>
    <d v="2026-02-22T09:43:17"/>
    <s v="C1024"/>
    <s v="Laptop"/>
    <s v="Electronics"/>
    <x v="0"/>
    <n v="4"/>
    <n v="55237"/>
    <n v="10"/>
    <s v="Net Banking"/>
    <n v="198853.2"/>
    <n v="123861.42"/>
    <n v="74991.78"/>
    <s v="Feb"/>
    <n v="2"/>
    <n v="0.37712131361225265"/>
  </r>
  <r>
    <s v="ORD10025"/>
    <d v="2026-02-24T16:24:18"/>
    <s v="C1025"/>
    <s v="Laptop"/>
    <s v="Electronics"/>
    <x v="1"/>
    <n v="3"/>
    <n v="55082"/>
    <n v="10"/>
    <s v="Net Banking"/>
    <n v="148721.4"/>
    <n v="95659.77"/>
    <n v="53061.63"/>
    <s v="Feb"/>
    <n v="2"/>
    <n v="0.3567854390827413"/>
  </r>
  <r>
    <s v="ORD10026"/>
    <d v="2026-02-26T23:05:19"/>
    <s v="C1026"/>
    <s v="Keyboard"/>
    <s v="Accessories"/>
    <x v="2"/>
    <n v="5"/>
    <n v="2026"/>
    <n v="10"/>
    <s v="Card"/>
    <n v="9117"/>
    <n v="5736.42"/>
    <n v="3380.58"/>
    <s v="Feb"/>
    <n v="2"/>
    <n v="0.37079960513326754"/>
  </r>
  <r>
    <s v="ORD10027"/>
    <d v="2026-03-01T05:46:20"/>
    <s v="C1027"/>
    <s v="Keyboard"/>
    <s v="Accessories"/>
    <x v="1"/>
    <n v="3"/>
    <n v="2225"/>
    <n v="15"/>
    <s v="Card"/>
    <n v="5673.75"/>
    <n v="3563.94"/>
    <n v="2109.81"/>
    <s v="Mar"/>
    <n v="3"/>
    <n v="0.37185459352280237"/>
  </r>
  <r>
    <s v="ORD10028"/>
    <d v="2026-03-03T12:27:21"/>
    <s v="C1028"/>
    <s v="Mouse"/>
    <s v="Accessories"/>
    <x v="0"/>
    <n v="4"/>
    <n v="1276"/>
    <n v="5"/>
    <s v="Cash"/>
    <n v="4848.8"/>
    <n v="3835.85"/>
    <n v="1012.95"/>
    <s v="Mar"/>
    <n v="3"/>
    <n v="0.20890735852169609"/>
  </r>
  <r>
    <s v="ORD10029"/>
    <d v="2026-03-05T19:08:21"/>
    <s v="C1029"/>
    <s v="Monitor"/>
    <s v="Electronics"/>
    <x v="3"/>
    <n v="4"/>
    <n v="14408"/>
    <n v="5"/>
    <s v="Net Banking"/>
    <n v="54750.400000000001"/>
    <n v="41650.36"/>
    <n v="13100.04"/>
    <s v="Mar"/>
    <n v="3"/>
    <n v="0.23926838890674773"/>
  </r>
  <r>
    <s v="ORD10030"/>
    <d v="2026-03-08T01:49:22"/>
    <s v="C1030"/>
    <s v="Monitor"/>
    <s v="Electronics"/>
    <x v="2"/>
    <n v="3"/>
    <n v="14083"/>
    <n v="15"/>
    <s v="Card"/>
    <n v="35911.65"/>
    <n v="25670.9"/>
    <n v="10240.75"/>
    <s v="Mar"/>
    <n v="3"/>
    <n v="0.28516512051103193"/>
  </r>
  <r>
    <s v="ORD10031"/>
    <d v="2026-03-10T08:30:23"/>
    <s v="C1031"/>
    <s v="Keyboard"/>
    <s v="Accessories"/>
    <x v="0"/>
    <n v="4"/>
    <n v="2480"/>
    <n v="10"/>
    <s v="Cash"/>
    <n v="8928"/>
    <n v="5710.05"/>
    <n v="3217.95"/>
    <s v="Mar"/>
    <n v="3"/>
    <n v="0.36043346774193546"/>
  </r>
  <r>
    <s v="ORD10032"/>
    <d v="2026-03-12T15:11:24"/>
    <s v="C1032"/>
    <s v="Monitor"/>
    <s v="Electronics"/>
    <x v="3"/>
    <n v="3"/>
    <n v="14252"/>
    <n v="0"/>
    <s v="Net Banking"/>
    <n v="38480.400000000001"/>
    <n v="27641.360000000001"/>
    <n v="10839.04"/>
    <s v="Mar"/>
    <n v="3"/>
    <n v="0.28167690564547149"/>
  </r>
  <r>
    <s v="ORD10033"/>
    <d v="2026-03-14T21:52:24"/>
    <s v="C1033"/>
    <s v="Monitor"/>
    <s v="Electronics"/>
    <x v="3"/>
    <n v="2"/>
    <n v="14458"/>
    <n v="5"/>
    <s v="UPI"/>
    <n v="27470.2"/>
    <n v="19632.8"/>
    <n v="7837.4"/>
    <s v="Mar"/>
    <n v="3"/>
    <n v="0.28530553108459344"/>
  </r>
  <r>
    <s v="ORD10034"/>
    <d v="2026-03-17T04:33:25"/>
    <s v="C1034"/>
    <s v="Laptop"/>
    <s v="Electronics"/>
    <x v="1"/>
    <n v="3"/>
    <n v="55315"/>
    <n v="10"/>
    <s v="Cash"/>
    <n v="149350.5"/>
    <n v="97770.87"/>
    <n v="51579.63"/>
    <s v="Mar"/>
    <n v="3"/>
    <n v="0.34535960709873753"/>
  </r>
  <r>
    <s v="ORD10035"/>
    <d v="2026-03-19T11:14:26"/>
    <s v="C1035"/>
    <s v="Keyboard"/>
    <s v="Accessories"/>
    <x v="0"/>
    <n v="3"/>
    <n v="2546"/>
    <n v="0"/>
    <s v="Card"/>
    <n v="7638"/>
    <n v="5398.31"/>
    <n v="2239.69"/>
    <s v="Mar"/>
    <n v="3"/>
    <n v="0.29322990311599895"/>
  </r>
  <r>
    <s v="ORD10036"/>
    <d v="2026-03-21T17:55:27"/>
    <s v="C1036"/>
    <s v="Headset"/>
    <s v="Accessories"/>
    <x v="3"/>
    <n v="4"/>
    <n v="2991"/>
    <n v="5"/>
    <s v="UPI"/>
    <n v="11365.8"/>
    <n v="7952.66"/>
    <n v="3413.14"/>
    <s v="Mar"/>
    <n v="3"/>
    <n v="0.30029914304316457"/>
  </r>
  <r>
    <s v="ORD10037"/>
    <d v="2026-03-24T00:36:27"/>
    <s v="C1037"/>
    <s v="Keyboard"/>
    <s v="Accessories"/>
    <x v="2"/>
    <n v="4"/>
    <n v="2048"/>
    <n v="10"/>
    <s v="UPI"/>
    <n v="7372.8"/>
    <n v="5479.24"/>
    <n v="1893.56"/>
    <s v="Mar"/>
    <n v="3"/>
    <n v="0.25683051215277775"/>
  </r>
  <r>
    <s v="ORD10038"/>
    <d v="2026-03-26T07:17:28"/>
    <s v="C1038"/>
    <s v="Headset"/>
    <s v="Accessories"/>
    <x v="2"/>
    <n v="1"/>
    <n v="3311"/>
    <n v="5"/>
    <s v="UPI"/>
    <n v="3145.45"/>
    <n v="2349.71"/>
    <n v="795.74"/>
    <s v="Mar"/>
    <n v="3"/>
    <n v="0.2529812904353908"/>
  </r>
  <r>
    <s v="ORD10039"/>
    <d v="2026-03-28T13:58:29"/>
    <s v="C1039"/>
    <s v="Laptop"/>
    <s v="Electronics"/>
    <x v="1"/>
    <n v="1"/>
    <n v="54816"/>
    <n v="0"/>
    <s v="Cash"/>
    <n v="54816"/>
    <n v="34482.6"/>
    <n v="20333.400000000001"/>
    <s v="Mar"/>
    <n v="3"/>
    <n v="0.37093914185639232"/>
  </r>
  <r>
    <s v="ORD10040"/>
    <d v="2026-03-30T20:39:30"/>
    <s v="C1040"/>
    <s v="Mouse"/>
    <s v="Accessories"/>
    <x v="3"/>
    <n v="2"/>
    <n v="1171"/>
    <n v="5"/>
    <s v="Card"/>
    <n v="2224.9"/>
    <n v="1546.13"/>
    <n v="678.77"/>
    <s v="Mar"/>
    <n v="3"/>
    <n v="0.30507887994966065"/>
  </r>
  <r>
    <s v="ORD10041"/>
    <d v="2026-04-02T03:20:30"/>
    <s v="C1041"/>
    <s v="Monitor"/>
    <s v="Electronics"/>
    <x v="0"/>
    <n v="1"/>
    <n v="14019"/>
    <n v="5"/>
    <s v="UPI"/>
    <n v="13318.05"/>
    <n v="9924.24"/>
    <n v="3393.81"/>
    <s v="Apr"/>
    <n v="4"/>
    <n v="0.25482784641895773"/>
  </r>
  <r>
    <s v="ORD10042"/>
    <d v="2026-04-04T10:01:31"/>
    <s v="C1042"/>
    <s v="Laptop"/>
    <s v="Electronics"/>
    <x v="2"/>
    <n v="3"/>
    <n v="54957"/>
    <n v="5"/>
    <s v="Net Banking"/>
    <n v="156627.45000000001"/>
    <n v="112870.01"/>
    <n v="43757.440000000002"/>
    <s v="Apr"/>
    <n v="4"/>
    <n v="0.27937274085736569"/>
  </r>
  <r>
    <s v="ORD10043"/>
    <d v="2026-04-06T16:42:32"/>
    <s v="C1043"/>
    <s v="Monitor"/>
    <s v="Electronics"/>
    <x v="3"/>
    <n v="4"/>
    <n v="14276"/>
    <n v="5"/>
    <s v="UPI"/>
    <n v="54248.800000000003"/>
    <n v="42926.97"/>
    <n v="11321.83"/>
    <s v="Apr"/>
    <n v="4"/>
    <n v="0.20870194363746294"/>
  </r>
  <r>
    <s v="ORD10044"/>
    <d v="2026-04-08T23:23:33"/>
    <s v="C1044"/>
    <s v="Mouse"/>
    <s v="Accessories"/>
    <x v="3"/>
    <n v="1"/>
    <n v="1045"/>
    <n v="0"/>
    <s v="UPI"/>
    <n v="1045"/>
    <n v="785.57"/>
    <n v="259.43"/>
    <s v="Apr"/>
    <n v="4"/>
    <n v="0.24825837320574162"/>
  </r>
  <r>
    <s v="ORD10045"/>
    <d v="2026-04-11T06:04:33"/>
    <s v="C1045"/>
    <s v="Mouse"/>
    <s v="Accessories"/>
    <x v="4"/>
    <n v="1"/>
    <n v="1372"/>
    <n v="15"/>
    <s v="Cash"/>
    <n v="1166.2"/>
    <n v="761.05"/>
    <n v="405.15"/>
    <s v="Apr"/>
    <n v="4"/>
    <n v="0.34741039272851992"/>
  </r>
  <r>
    <s v="ORD10046"/>
    <d v="2026-04-13T12:45:34"/>
    <s v="C1046"/>
    <s v="Laptop"/>
    <s v="Electronics"/>
    <x v="2"/>
    <n v="2"/>
    <n v="55317"/>
    <n v="5"/>
    <s v="Cash"/>
    <n v="105102.3"/>
    <n v="66646.81"/>
    <n v="38455.49"/>
    <s v="Apr"/>
    <n v="4"/>
    <n v="0.36588628412508573"/>
  </r>
  <r>
    <s v="ORD10047"/>
    <d v="2026-04-15T19:26:35"/>
    <s v="C1047"/>
    <s v="Mouse"/>
    <s v="Accessories"/>
    <x v="2"/>
    <n v="2"/>
    <n v="1098"/>
    <n v="5"/>
    <s v="Card"/>
    <n v="2086.1999999999998"/>
    <n v="1561.49"/>
    <n v="524.71"/>
    <s v="Apr"/>
    <n v="4"/>
    <n v="0.25151471575112649"/>
  </r>
  <r>
    <s v="ORD10048"/>
    <d v="2026-04-18T02:07:36"/>
    <s v="C1048"/>
    <s v="Headset"/>
    <s v="Accessories"/>
    <x v="0"/>
    <n v="3"/>
    <n v="2836"/>
    <n v="10"/>
    <s v="Net Banking"/>
    <n v="7657.2"/>
    <n v="4788.0600000000004"/>
    <n v="2869.14"/>
    <s v="Apr"/>
    <n v="4"/>
    <n v="0.3746983231468422"/>
  </r>
  <r>
    <s v="ORD10049"/>
    <d v="2026-04-20T08:48:36"/>
    <s v="C1049"/>
    <s v="Mouse"/>
    <s v="Accessories"/>
    <x v="2"/>
    <n v="4"/>
    <n v="1279"/>
    <n v="5"/>
    <s v="Cash"/>
    <n v="4860.2"/>
    <n v="3582.72"/>
    <n v="1277.48"/>
    <s v="Apr"/>
    <n v="4"/>
    <n v="0.26284515040533313"/>
  </r>
  <r>
    <s v="ORD10050"/>
    <d v="2026-04-22T15:29:37"/>
    <s v="C1050"/>
    <s v="Monitor"/>
    <s v="Electronics"/>
    <x v="0"/>
    <n v="2"/>
    <n v="14148"/>
    <n v="10"/>
    <s v="UPI"/>
    <n v="25466.400000000001"/>
    <n v="20578.02"/>
    <n v="4888.38"/>
    <s v="Apr"/>
    <n v="4"/>
    <n v="0.19195410423145792"/>
  </r>
  <r>
    <s v="ORD10051"/>
    <d v="2026-04-24T22:10:38"/>
    <s v="C1051"/>
    <s v="Monitor"/>
    <s v="Electronics"/>
    <x v="2"/>
    <n v="1"/>
    <n v="14296"/>
    <n v="15"/>
    <s v="Card"/>
    <n v="12151.6"/>
    <n v="8932.58"/>
    <n v="3219.02"/>
    <s v="Apr"/>
    <n v="4"/>
    <n v="0.26490503308206326"/>
  </r>
  <r>
    <s v="ORD10052"/>
    <d v="2026-04-27T04:51:39"/>
    <s v="C1052"/>
    <s v="Monitor"/>
    <s v="Electronics"/>
    <x v="1"/>
    <n v="4"/>
    <n v="14101"/>
    <n v="0"/>
    <s v="UPI"/>
    <n v="56404"/>
    <n v="39349.35"/>
    <n v="17054.650000000001"/>
    <s v="Apr"/>
    <n v="4"/>
    <n v="0.30236596695269841"/>
  </r>
  <r>
    <s v="ORD10053"/>
    <d v="2026-04-29T11:32:39"/>
    <s v="C1053"/>
    <s v="Monitor"/>
    <s v="Electronics"/>
    <x v="2"/>
    <n v="4"/>
    <n v="13980"/>
    <n v="0"/>
    <s v="UPI"/>
    <n v="55920"/>
    <n v="41864.94"/>
    <n v="14055.06"/>
    <s v="Apr"/>
    <n v="4"/>
    <n v="0.2513422746781116"/>
  </r>
  <r>
    <s v="ORD10054"/>
    <d v="2026-05-01T18:13:40"/>
    <s v="C1054"/>
    <s v="Headset"/>
    <s v="Accessories"/>
    <x v="0"/>
    <n v="1"/>
    <n v="3406"/>
    <n v="15"/>
    <s v="Cash"/>
    <n v="2895.1"/>
    <n v="2060.3000000000002"/>
    <n v="834.8"/>
    <s v="May"/>
    <n v="5"/>
    <n v="0.28834927981762287"/>
  </r>
  <r>
    <s v="ORD10055"/>
    <d v="2026-05-04T00:54:41"/>
    <s v="C1055"/>
    <s v="Keyboard"/>
    <s v="Accessories"/>
    <x v="0"/>
    <n v="2"/>
    <n v="2098"/>
    <n v="0"/>
    <s v="Card"/>
    <n v="4196"/>
    <n v="3059.4"/>
    <n v="1136.5999999999999"/>
    <s v="May"/>
    <n v="5"/>
    <n v="0.27087702573879885"/>
  </r>
  <r>
    <s v="ORD10056"/>
    <d v="2026-05-06T07:35:42"/>
    <s v="C1056"/>
    <s v="Laptop"/>
    <s v="Electronics"/>
    <x v="1"/>
    <n v="1"/>
    <n v="55499"/>
    <n v="15"/>
    <s v="Card"/>
    <n v="47174.15"/>
    <n v="38130.53"/>
    <n v="9043.6200000000008"/>
    <s v="May"/>
    <n v="5"/>
    <n v="0.19170711077995048"/>
  </r>
  <r>
    <s v="ORD10057"/>
    <d v="2026-05-08T14:16:43"/>
    <s v="C1057"/>
    <s v="Monitor"/>
    <s v="Electronics"/>
    <x v="2"/>
    <n v="4"/>
    <n v="13915"/>
    <n v="15"/>
    <s v="Net Banking"/>
    <n v="47311"/>
    <n v="32986.199999999997"/>
    <n v="14324.8"/>
    <s v="May"/>
    <n v="5"/>
    <n v="0.30277948045908981"/>
  </r>
  <r>
    <s v="ORD10058"/>
    <d v="2026-05-10T20:57:43"/>
    <s v="C1058"/>
    <s v="Mouse"/>
    <s v="Accessories"/>
    <x v="2"/>
    <n v="5"/>
    <n v="1190"/>
    <n v="15"/>
    <s v="Cash"/>
    <n v="5057.5"/>
    <n v="4107.8900000000003"/>
    <n v="949.61"/>
    <s v="May"/>
    <n v="5"/>
    <n v="0.1877627286208601"/>
  </r>
  <r>
    <s v="ORD10059"/>
    <d v="2026-05-13T03:38:44"/>
    <s v="C1059"/>
    <s v="Monitor"/>
    <s v="Electronics"/>
    <x v="1"/>
    <n v="5"/>
    <n v="14052"/>
    <n v="0"/>
    <s v="Cash"/>
    <n v="70260"/>
    <n v="56283.19"/>
    <n v="13976.81"/>
    <s v="May"/>
    <n v="5"/>
    <n v="0.19892983205237688"/>
  </r>
  <r>
    <s v="ORD10060"/>
    <d v="2026-05-15T10:19:45"/>
    <s v="C1060"/>
    <s v="Mouse"/>
    <s v="Accessories"/>
    <x v="2"/>
    <n v="3"/>
    <n v="1160"/>
    <n v="10"/>
    <s v="Card"/>
    <n v="3132"/>
    <n v="2064.48"/>
    <n v="1067.52"/>
    <s v="May"/>
    <n v="5"/>
    <n v="0.34084291187739463"/>
  </r>
  <r>
    <s v="ORD10061"/>
    <d v="2026-05-17T17:00:46"/>
    <s v="C1061"/>
    <s v="Mouse"/>
    <s v="Accessories"/>
    <x v="2"/>
    <n v="1"/>
    <n v="1255"/>
    <n v="15"/>
    <s v="Net Banking"/>
    <n v="1066.75"/>
    <n v="676.18"/>
    <n v="390.57"/>
    <s v="May"/>
    <n v="5"/>
    <n v="0.36613077103351299"/>
  </r>
  <r>
    <s v="ORD10062"/>
    <d v="2026-05-19T23:41:46"/>
    <s v="C1062"/>
    <s v="Monitor"/>
    <s v="Electronics"/>
    <x v="0"/>
    <n v="1"/>
    <n v="14122"/>
    <n v="5"/>
    <s v="Net Banking"/>
    <n v="13415.9"/>
    <n v="8588.26"/>
    <n v="4827.6400000000003"/>
    <s v="May"/>
    <n v="5"/>
    <n v="0.35984466193099235"/>
  </r>
  <r>
    <s v="ORD10063"/>
    <d v="2026-05-22T06:22:47"/>
    <s v="C1063"/>
    <s v="Headset"/>
    <s v="Accessories"/>
    <x v="2"/>
    <n v="3"/>
    <n v="2927"/>
    <n v="0"/>
    <s v="Net Banking"/>
    <n v="8781"/>
    <n v="5476.22"/>
    <n v="3304.78"/>
    <s v="May"/>
    <n v="5"/>
    <n v="0.37635576813574767"/>
  </r>
  <r>
    <s v="ORD10064"/>
    <d v="2026-05-24T13:03:48"/>
    <s v="C1064"/>
    <s v="Mouse"/>
    <s v="Accessories"/>
    <x v="2"/>
    <n v="3"/>
    <n v="1017"/>
    <n v="15"/>
    <s v="UPI"/>
    <n v="2593.35"/>
    <n v="1656.86"/>
    <n v="936.49"/>
    <s v="May"/>
    <n v="5"/>
    <n v="0.36111207511519849"/>
  </r>
  <r>
    <s v="ORD10065"/>
    <d v="2026-05-26T19:44:49"/>
    <s v="C1065"/>
    <s v="Mouse"/>
    <s v="Accessories"/>
    <x v="1"/>
    <n v="3"/>
    <n v="1565"/>
    <n v="15"/>
    <s v="Net Banking"/>
    <n v="3990.75"/>
    <n v="3019.41"/>
    <n v="971.34"/>
    <s v="May"/>
    <n v="5"/>
    <n v="0.24339785754557414"/>
  </r>
  <r>
    <s v="ORD10066"/>
    <d v="2026-05-29T02:25:49"/>
    <s v="C1066"/>
    <s v="Monitor"/>
    <s v="Electronics"/>
    <x v="1"/>
    <n v="4"/>
    <n v="14369"/>
    <n v="5"/>
    <s v="UPI"/>
    <n v="54602.2"/>
    <n v="34630.78"/>
    <n v="19971.419999999998"/>
    <s v="May"/>
    <n v="5"/>
    <n v="0.36576218540644884"/>
  </r>
  <r>
    <s v="ORD10067"/>
    <d v="2026-05-31T09:06:50"/>
    <s v="C1067"/>
    <s v="Mouse"/>
    <s v="Accessories"/>
    <x v="3"/>
    <n v="1"/>
    <n v="1322"/>
    <n v="10"/>
    <s v="Card"/>
    <n v="1189.8"/>
    <n v="813.58"/>
    <n v="376.22"/>
    <s v="May"/>
    <n v="5"/>
    <n v="0.31620440410152972"/>
  </r>
  <r>
    <s v="ORD10068"/>
    <d v="2026-06-02T15:47:51"/>
    <s v="C1068"/>
    <s v="Mouse"/>
    <s v="Accessories"/>
    <x v="0"/>
    <n v="4"/>
    <n v="1685"/>
    <n v="10"/>
    <s v="UPI"/>
    <n v="6066"/>
    <n v="4785.92"/>
    <n v="1280.08"/>
    <s v="Jun"/>
    <n v="6"/>
    <n v="0.21102538740520935"/>
  </r>
  <r>
    <s v="ORD10069"/>
    <d v="2026-06-04T22:28:52"/>
    <s v="C1069"/>
    <s v="Monitor"/>
    <s v="Electronics"/>
    <x v="2"/>
    <n v="3"/>
    <n v="14425"/>
    <n v="10"/>
    <s v="Card"/>
    <n v="38947.5"/>
    <n v="24328.73"/>
    <n v="14618.77"/>
    <s v="Jun"/>
    <n v="6"/>
    <n v="0.3753455292380769"/>
  </r>
  <r>
    <s v="ORD10070"/>
    <d v="2026-06-07T05:09:52"/>
    <s v="C1070"/>
    <s v="Monitor"/>
    <s v="Electronics"/>
    <x v="2"/>
    <n v="1"/>
    <n v="14087"/>
    <n v="15"/>
    <s v="Net Banking"/>
    <n v="11973.95"/>
    <n v="9374.33"/>
    <n v="2599.62"/>
    <s v="Jun"/>
    <n v="6"/>
    <n v="0.21710630159638211"/>
  </r>
  <r>
    <s v="ORD10071"/>
    <d v="2026-06-09T11:50:53"/>
    <s v="C1011"/>
    <s v="Laptop"/>
    <s v="Electronics"/>
    <x v="3"/>
    <n v="4"/>
    <n v="55462"/>
    <n v="15"/>
    <s v="Net Banking"/>
    <n v="188570.8"/>
    <n v="127543.81"/>
    <n v="61026.99"/>
    <s v="Jun"/>
    <n v="6"/>
    <n v="0.32362905603624742"/>
  </r>
  <r>
    <s v="ORD10072"/>
    <d v="2026-06-11T18:31:54"/>
    <s v="C1072"/>
    <s v="Headset"/>
    <s v="Accessories"/>
    <x v="2"/>
    <n v="4"/>
    <n v="3438"/>
    <n v="15"/>
    <s v="Card"/>
    <n v="11689.2"/>
    <n v="7523.55"/>
    <n v="4165.6499999999996"/>
    <s v="Jun"/>
    <n v="6"/>
    <n v="0.35636741607637812"/>
  </r>
  <r>
    <s v="ORD10073"/>
    <d v="2026-06-14T01:12:55"/>
    <s v="C1073"/>
    <s v="Headset"/>
    <s v="Accessories"/>
    <x v="0"/>
    <n v="3"/>
    <n v="2954"/>
    <n v="0"/>
    <s v="Cash"/>
    <n v="8862"/>
    <n v="6729.34"/>
    <n v="2132.66"/>
    <s v="Jun"/>
    <n v="6"/>
    <n v="0.24065222297449784"/>
  </r>
  <r>
    <s v="ORD10074"/>
    <d v="2026-06-16T07:53:55"/>
    <s v="C1074"/>
    <s v="Mouse"/>
    <s v="Accessories"/>
    <x v="3"/>
    <n v="1"/>
    <n v="1489"/>
    <n v="5"/>
    <s v="Card"/>
    <n v="1414.55"/>
    <n v="1054.96"/>
    <n v="359.59"/>
    <s v="Jun"/>
    <n v="6"/>
    <n v="0.25420805203068114"/>
  </r>
  <r>
    <s v="ORD10075"/>
    <d v="2026-06-18T14:34:56"/>
    <s v="C1075"/>
    <s v="Headset"/>
    <s v="Accessories"/>
    <x v="0"/>
    <n v="3"/>
    <n v="3185"/>
    <n v="15"/>
    <s v="Cash"/>
    <n v="8121.75"/>
    <n v="6460.81"/>
    <n v="1660.94"/>
    <s v="Jun"/>
    <n v="6"/>
    <n v="0.20450518669006065"/>
  </r>
  <r>
    <s v="ORD10076"/>
    <d v="2026-06-20T21:15:57"/>
    <s v="C1076"/>
    <s v="Mouse"/>
    <s v="Accessories"/>
    <x v="3"/>
    <n v="1"/>
    <n v="1103"/>
    <n v="5"/>
    <s v="UPI"/>
    <n v="1047.8499999999999"/>
    <n v="803.72"/>
    <n v="244.13"/>
    <s v="Jun"/>
    <n v="6"/>
    <n v="0.23298181991697287"/>
  </r>
  <r>
    <s v="ORD10077"/>
    <d v="2026-06-23T03:56:58"/>
    <s v="C1077"/>
    <s v="Laptop"/>
    <s v="Electronics"/>
    <x v="3"/>
    <n v="5"/>
    <n v="55192"/>
    <n v="5"/>
    <s v="UPI"/>
    <n v="262162"/>
    <n v="204668.87"/>
    <n v="57493.13"/>
    <s v="Jun"/>
    <n v="6"/>
    <n v="0.2193038274044293"/>
  </r>
  <r>
    <s v="ORD10078"/>
    <d v="2026-06-25T10:37:58"/>
    <s v="C1078"/>
    <s v="Monitor"/>
    <s v="Electronics"/>
    <x v="1"/>
    <n v="2"/>
    <n v="14045"/>
    <n v="10"/>
    <s v="UPI"/>
    <n v="25281"/>
    <n v="17100.240000000002"/>
    <n v="8180.76"/>
    <s v="Jun"/>
    <n v="6"/>
    <n v="0.32359321229381749"/>
  </r>
  <r>
    <s v="ORD10079"/>
    <d v="2026-06-27T17:18:59"/>
    <s v="C1079"/>
    <s v="Monitor"/>
    <s v="Electronics"/>
    <x v="0"/>
    <n v="2"/>
    <n v="13975"/>
    <n v="0"/>
    <s v="Net Banking"/>
    <n v="27950"/>
    <n v="18320.89"/>
    <n v="9629.11"/>
    <s v="Jun"/>
    <n v="6"/>
    <n v="0.34451198568872987"/>
  </r>
  <r>
    <s v="ORD10080"/>
    <d v="2026-06-30T00:00:00"/>
    <s v="C1080"/>
    <s v="Monitor"/>
    <s v="Electronics"/>
    <x v="2"/>
    <n v="2"/>
    <n v="13838"/>
    <n v="15"/>
    <s v="UPI"/>
    <n v="23524.6"/>
    <n v="18116.830000000002"/>
    <n v="5407.77"/>
    <s v="Jun"/>
    <n v="6"/>
    <n v="0.229877234894535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d v="2026-01-01T00:00:00"/>
    <s v="C1001"/>
    <s v="Monitor"/>
    <s v="Electronics"/>
    <s v="North"/>
    <n v="3"/>
    <n v="13962"/>
    <n v="0"/>
    <x v="0"/>
    <n v="41886"/>
    <n v="28238.14"/>
    <n v="13647.86"/>
    <s v="Jan"/>
    <n v="1"/>
    <n v="0.32583345270496111"/>
  </r>
  <r>
    <s v="ORD10002"/>
    <d v="2026-01-03T06:41:01"/>
    <s v="C1002"/>
    <s v="Headset"/>
    <s v="Accessories"/>
    <s v="North"/>
    <n v="1"/>
    <n v="3480"/>
    <n v="5"/>
    <x v="1"/>
    <n v="3306"/>
    <n v="2339.9699999999998"/>
    <n v="966.03"/>
    <s v="Jan"/>
    <n v="1"/>
    <n v="0.29220508166969145"/>
  </r>
  <r>
    <s v="ORD10003"/>
    <d v="2026-01-05T13:22:02"/>
    <s v="C1003"/>
    <s v="Keyboard"/>
    <s v="Accessories"/>
    <s v="North"/>
    <n v="2"/>
    <n v="2160"/>
    <n v="10"/>
    <x v="0"/>
    <n v="3888"/>
    <n v="2471.5700000000002"/>
    <n v="1416.43"/>
    <s v="Jan"/>
    <n v="1"/>
    <n v="0.36430812757201647"/>
  </r>
  <r>
    <s v="ORD10004"/>
    <d v="2026-01-07T20:03:02"/>
    <s v="C1004"/>
    <s v="Headset"/>
    <s v="Accessories"/>
    <s v="South"/>
    <n v="2"/>
    <n v="3379"/>
    <n v="5"/>
    <x v="0"/>
    <n v="6420.1"/>
    <n v="4013.01"/>
    <n v="2407.09"/>
    <s v="Jan"/>
    <n v="1"/>
    <n v="0.37493029703587172"/>
  </r>
  <r>
    <s v="ORD10005"/>
    <d v="2026-01-10T02:44:03"/>
    <s v="C1005"/>
    <s v="Headset"/>
    <s v="Accessories"/>
    <s v="North"/>
    <n v="4"/>
    <n v="3197"/>
    <n v="10"/>
    <x v="1"/>
    <n v="11509.2"/>
    <n v="9351.57"/>
    <n v="2157.63"/>
    <s v="Jan"/>
    <n v="1"/>
    <n v="0.18747002398081536"/>
  </r>
  <r>
    <s v="ORD10006"/>
    <d v="2026-01-12T09:25:04"/>
    <s v="C1006"/>
    <s v="Mouse"/>
    <s v="Accessories"/>
    <s v="North"/>
    <n v="5"/>
    <n v="1276"/>
    <n v="5"/>
    <x v="2"/>
    <n v="6061"/>
    <n v="4771.2"/>
    <n v="1289.8"/>
    <s v="Jan"/>
    <n v="1"/>
    <n v="0.21280316779409339"/>
  </r>
  <r>
    <s v="ORD10007"/>
    <d v="2026-01-14T16:06:05"/>
    <s v="C1007"/>
    <s v="Keyboard"/>
    <s v="Accessories"/>
    <s v="North"/>
    <n v="1"/>
    <n v="2503"/>
    <n v="0"/>
    <x v="1"/>
    <n v="2503"/>
    <n v="1900.26"/>
    <n v="602.74"/>
    <s v="Jan"/>
    <n v="1"/>
    <n v="0.24080703156212546"/>
  </r>
  <r>
    <s v="ORD10008"/>
    <d v="2026-01-16T22:47:05"/>
    <s v="C1008"/>
    <s v="Keyboard"/>
    <s v="Accessories"/>
    <s v="East"/>
    <n v="1"/>
    <n v="2391"/>
    <n v="15"/>
    <x v="2"/>
    <n v="2032.35"/>
    <n v="1426.28"/>
    <n v="606.07000000000005"/>
    <s v="Jan"/>
    <n v="1"/>
    <n v="0.2982114301178439"/>
  </r>
  <r>
    <s v="ORD10009"/>
    <d v="2026-01-19T05:28:06"/>
    <s v="C1009"/>
    <s v="Keyboard"/>
    <s v="Accessories"/>
    <s v="North"/>
    <n v="3"/>
    <n v="2134"/>
    <n v="0"/>
    <x v="1"/>
    <n v="6402"/>
    <n v="4191.13"/>
    <n v="2210.87"/>
    <s v="Jan"/>
    <n v="1"/>
    <n v="0.34534051858794124"/>
  </r>
  <r>
    <s v="ORD10010"/>
    <d v="2026-01-21T12:09:07"/>
    <s v="C1010"/>
    <s v="Headset"/>
    <s v="Accessories"/>
    <s v="West"/>
    <n v="2"/>
    <n v="2994"/>
    <n v="15"/>
    <x v="0"/>
    <n v="5089.8"/>
    <n v="3314.92"/>
    <n v="1774.88"/>
    <s v="Jan"/>
    <n v="1"/>
    <n v="0.34871311249950881"/>
  </r>
  <r>
    <s v="ORD10011"/>
    <d v="2026-01-23T18:50:08"/>
    <s v="C1011"/>
    <s v="Monitor"/>
    <s v="Electronics"/>
    <s v="North"/>
    <n v="5"/>
    <n v="14200"/>
    <n v="5"/>
    <x v="0"/>
    <n v="67450"/>
    <n v="45194.78"/>
    <n v="22255.22"/>
    <s v="Jan"/>
    <n v="1"/>
    <n v="0.329951371386212"/>
  </r>
  <r>
    <s v="ORD10012"/>
    <d v="2026-01-26T01:31:08"/>
    <s v="C1012"/>
    <s v="Keyboard"/>
    <s v="Accessories"/>
    <s v="West"/>
    <n v="4"/>
    <n v="2639"/>
    <n v="10"/>
    <x v="3"/>
    <n v="9500.4"/>
    <n v="6933.82"/>
    <n v="2566.58"/>
    <s v="Jan"/>
    <n v="1"/>
    <n v="0.27015494084459601"/>
  </r>
  <r>
    <s v="ORD10013"/>
    <d v="2026-01-28T08:12:09"/>
    <s v="C1013"/>
    <s v="Headset"/>
    <s v="Accessories"/>
    <s v="West"/>
    <n v="2"/>
    <n v="2832"/>
    <n v="0"/>
    <x v="2"/>
    <n v="5664"/>
    <n v="4321.17"/>
    <n v="1342.83"/>
    <s v="Jan"/>
    <n v="1"/>
    <n v="0.23708156779661016"/>
  </r>
  <r>
    <s v="ORD10014"/>
    <d v="2026-01-30T14:53:10"/>
    <s v="C1014"/>
    <s v="Mouse"/>
    <s v="Accessories"/>
    <s v="West"/>
    <n v="4"/>
    <n v="1687"/>
    <n v="15"/>
    <x v="3"/>
    <n v="5735.8"/>
    <n v="4313.55"/>
    <n v="1422.25"/>
    <s v="Jan"/>
    <n v="1"/>
    <n v="0.24796017992259142"/>
  </r>
  <r>
    <s v="ORD10015"/>
    <d v="2026-02-01T21:34:11"/>
    <s v="C1015"/>
    <s v="Monitor"/>
    <s v="Electronics"/>
    <s v="East"/>
    <n v="3"/>
    <n v="14259"/>
    <n v="0"/>
    <x v="3"/>
    <n v="42777"/>
    <n v="28916.69"/>
    <n v="13860.31"/>
    <s v="Feb"/>
    <n v="2"/>
    <n v="0.32401313790120856"/>
  </r>
  <r>
    <s v="ORD10016"/>
    <d v="2026-02-04T04:15:11"/>
    <s v="C1016"/>
    <s v="Mouse"/>
    <s v="Accessories"/>
    <s v="East"/>
    <n v="3"/>
    <n v="1469"/>
    <n v="15"/>
    <x v="1"/>
    <n v="3745.95"/>
    <n v="3037.86"/>
    <n v="708.09"/>
    <s v="Feb"/>
    <n v="2"/>
    <n v="0.18902815040243465"/>
  </r>
  <r>
    <s v="ORD10017"/>
    <d v="2026-02-06T10:56:12"/>
    <s v="C1017"/>
    <s v="Monitor"/>
    <s v="Electronics"/>
    <s v="East"/>
    <n v="1"/>
    <n v="14174"/>
    <n v="0"/>
    <x v="3"/>
    <n v="14174"/>
    <n v="10879.67"/>
    <n v="3294.33"/>
    <s v="Feb"/>
    <n v="2"/>
    <n v="0.23242062932129251"/>
  </r>
  <r>
    <s v="ORD10018"/>
    <d v="2026-02-08T17:37:13"/>
    <s v="C1018"/>
    <s v="Headset"/>
    <s v="Accessories"/>
    <s v="North"/>
    <n v="5"/>
    <n v="2821"/>
    <n v="15"/>
    <x v="1"/>
    <n v="11989.25"/>
    <n v="8762.59"/>
    <n v="3226.66"/>
    <s v="Feb"/>
    <n v="2"/>
    <n v="0.26912942844631649"/>
  </r>
  <r>
    <s v="ORD10019"/>
    <d v="2026-02-11T00:18:14"/>
    <s v="C1019"/>
    <s v="Laptop"/>
    <s v="Electronics"/>
    <s v="West"/>
    <n v="4"/>
    <n v="55469"/>
    <n v="15"/>
    <x v="1"/>
    <n v="188594.6"/>
    <n v="140002.1"/>
    <n v="48592.5"/>
    <s v="Feb"/>
    <n v="2"/>
    <n v="0.25765583956274463"/>
  </r>
  <r>
    <s v="ORD10020"/>
    <d v="2026-02-13T06:59:14"/>
    <s v="C1020"/>
    <s v="Monitor"/>
    <s v="Electronics"/>
    <s v="East"/>
    <n v="2"/>
    <n v="13837"/>
    <n v="5"/>
    <x v="3"/>
    <n v="26290.3"/>
    <n v="18506.27"/>
    <n v="7784.03"/>
    <s v="Feb"/>
    <n v="2"/>
    <n v="0.29607992301343083"/>
  </r>
  <r>
    <s v="ORD10021"/>
    <d v="2026-02-15T13:40:15"/>
    <s v="C1021"/>
    <s v="Mouse"/>
    <s v="Accessories"/>
    <s v="East"/>
    <n v="3"/>
    <n v="1229"/>
    <n v="15"/>
    <x v="2"/>
    <n v="3133.95"/>
    <n v="2098.3200000000002"/>
    <n v="1035.6300000000001"/>
    <s v="Feb"/>
    <n v="2"/>
    <n v="0.33045517637486244"/>
  </r>
  <r>
    <s v="ORD10022"/>
    <d v="2026-02-17T20:21:16"/>
    <s v="C1022"/>
    <s v="Headset"/>
    <s v="Accessories"/>
    <s v="North"/>
    <n v="1"/>
    <n v="3164"/>
    <n v="5"/>
    <x v="2"/>
    <n v="3005.8"/>
    <n v="2077.59"/>
    <n v="928.21"/>
    <s v="Feb"/>
    <n v="2"/>
    <n v="0.30880630780491047"/>
  </r>
  <r>
    <s v="ORD10023"/>
    <d v="2026-02-20T03:02:17"/>
    <s v="C1023"/>
    <s v="Mouse"/>
    <s v="Electronics"/>
    <s v="East"/>
    <n v="1"/>
    <n v="14362"/>
    <n v="15"/>
    <x v="2"/>
    <n v="12207.7"/>
    <n v="9419.09"/>
    <n v="2788.61"/>
    <s v="Feb"/>
    <n v="2"/>
    <n v="0.2284304168680423"/>
  </r>
  <r>
    <s v="ORD10024"/>
    <d v="2026-02-22T09:43:17"/>
    <s v="C1024"/>
    <s v="Laptop"/>
    <s v="Electronics"/>
    <s v="North"/>
    <n v="4"/>
    <n v="55237"/>
    <n v="10"/>
    <x v="2"/>
    <n v="198853.2"/>
    <n v="123861.42"/>
    <n v="74991.78"/>
    <s v="Feb"/>
    <n v="2"/>
    <n v="0.37712131361225265"/>
  </r>
  <r>
    <s v="ORD10025"/>
    <d v="2026-02-24T16:24:18"/>
    <s v="C1025"/>
    <s v="Laptop"/>
    <s v="Electronics"/>
    <s v="South"/>
    <n v="3"/>
    <n v="55082"/>
    <n v="10"/>
    <x v="2"/>
    <n v="148721.4"/>
    <n v="95659.77"/>
    <n v="53061.63"/>
    <s v="Feb"/>
    <n v="2"/>
    <n v="0.3567854390827413"/>
  </r>
  <r>
    <s v="ORD10026"/>
    <d v="2026-02-26T23:05:19"/>
    <s v="C1026"/>
    <s v="Keyboard"/>
    <s v="Accessories"/>
    <s v="East"/>
    <n v="5"/>
    <n v="2026"/>
    <n v="10"/>
    <x v="3"/>
    <n v="9117"/>
    <n v="5736.42"/>
    <n v="3380.58"/>
    <s v="Feb"/>
    <n v="2"/>
    <n v="0.37079960513326754"/>
  </r>
  <r>
    <s v="ORD10027"/>
    <d v="2026-03-01T05:46:20"/>
    <s v="C1027"/>
    <s v="Keyboard"/>
    <s v="Accessories"/>
    <s v="South"/>
    <n v="3"/>
    <n v="2225"/>
    <n v="15"/>
    <x v="3"/>
    <n v="5673.75"/>
    <n v="3563.94"/>
    <n v="2109.81"/>
    <s v="Mar"/>
    <n v="3"/>
    <n v="0.37185459352280237"/>
  </r>
  <r>
    <s v="ORD10028"/>
    <d v="2026-03-03T12:27:21"/>
    <s v="C1028"/>
    <s v="Mouse"/>
    <s v="Accessories"/>
    <s v="North"/>
    <n v="4"/>
    <n v="1276"/>
    <n v="5"/>
    <x v="0"/>
    <n v="4848.8"/>
    <n v="3835.85"/>
    <n v="1012.95"/>
    <s v="Mar"/>
    <n v="3"/>
    <n v="0.20890735852169609"/>
  </r>
  <r>
    <s v="ORD10029"/>
    <d v="2026-03-05T19:08:21"/>
    <s v="C1029"/>
    <s v="Monitor"/>
    <s v="Electronics"/>
    <s v="West"/>
    <n v="4"/>
    <n v="14408"/>
    <n v="5"/>
    <x v="2"/>
    <n v="54750.400000000001"/>
    <n v="41650.36"/>
    <n v="13100.04"/>
    <s v="Mar"/>
    <n v="3"/>
    <n v="0.23926838890674773"/>
  </r>
  <r>
    <s v="ORD10030"/>
    <d v="2026-03-08T01:49:22"/>
    <s v="C1030"/>
    <s v="Monitor"/>
    <s v="Electronics"/>
    <s v="East"/>
    <n v="3"/>
    <n v="14083"/>
    <n v="15"/>
    <x v="3"/>
    <n v="35911.65"/>
    <n v="25670.9"/>
    <n v="10240.75"/>
    <s v="Mar"/>
    <n v="3"/>
    <n v="0.28516512051103193"/>
  </r>
  <r>
    <s v="ORD10031"/>
    <d v="2026-03-10T08:30:23"/>
    <s v="C1031"/>
    <s v="Keyboard"/>
    <s v="Accessories"/>
    <s v="North"/>
    <n v="4"/>
    <n v="2480"/>
    <n v="10"/>
    <x v="0"/>
    <n v="8928"/>
    <n v="5710.05"/>
    <n v="3217.95"/>
    <s v="Mar"/>
    <n v="3"/>
    <n v="0.36043346774193546"/>
  </r>
  <r>
    <s v="ORD10032"/>
    <d v="2026-03-12T15:11:24"/>
    <s v="C1032"/>
    <s v="Monitor"/>
    <s v="Electronics"/>
    <s v="West"/>
    <n v="3"/>
    <n v="14252"/>
    <n v="0"/>
    <x v="2"/>
    <n v="38480.400000000001"/>
    <n v="27641.360000000001"/>
    <n v="10839.04"/>
    <s v="Mar"/>
    <n v="3"/>
    <n v="0.28167690564547149"/>
  </r>
  <r>
    <s v="ORD10033"/>
    <d v="2026-03-14T21:52:24"/>
    <s v="C1033"/>
    <s v="Monitor"/>
    <s v="Electronics"/>
    <s v="West"/>
    <n v="2"/>
    <n v="14458"/>
    <n v="5"/>
    <x v="1"/>
    <n v="27470.2"/>
    <n v="19632.8"/>
    <n v="7837.4"/>
    <s v="Mar"/>
    <n v="3"/>
    <n v="0.28530553108459344"/>
  </r>
  <r>
    <s v="ORD10034"/>
    <d v="2026-03-17T04:33:25"/>
    <s v="C1034"/>
    <s v="Laptop"/>
    <s v="Electronics"/>
    <s v="South"/>
    <n v="3"/>
    <n v="55315"/>
    <n v="10"/>
    <x v="0"/>
    <n v="149350.5"/>
    <n v="97770.87"/>
    <n v="51579.63"/>
    <s v="Mar"/>
    <n v="3"/>
    <n v="0.34535960709873753"/>
  </r>
  <r>
    <s v="ORD10035"/>
    <d v="2026-03-19T11:14:26"/>
    <s v="C1035"/>
    <s v="Keyboard"/>
    <s v="Accessories"/>
    <s v="North"/>
    <n v="3"/>
    <n v="2546"/>
    <n v="0"/>
    <x v="3"/>
    <n v="7638"/>
    <n v="5398.31"/>
    <n v="2239.69"/>
    <s v="Mar"/>
    <n v="3"/>
    <n v="0.29322990311599895"/>
  </r>
  <r>
    <s v="ORD10036"/>
    <d v="2026-03-21T17:55:27"/>
    <s v="C1036"/>
    <s v="Headset"/>
    <s v="Accessories"/>
    <s v="West"/>
    <n v="4"/>
    <n v="2991"/>
    <n v="5"/>
    <x v="1"/>
    <n v="11365.8"/>
    <n v="7952.66"/>
    <n v="3413.14"/>
    <s v="Mar"/>
    <n v="3"/>
    <n v="0.30029914304316457"/>
  </r>
  <r>
    <s v="ORD10037"/>
    <d v="2026-03-24T00:36:27"/>
    <s v="C1037"/>
    <s v="Keyboard"/>
    <s v="Accessories"/>
    <s v="East"/>
    <n v="4"/>
    <n v="2048"/>
    <n v="10"/>
    <x v="1"/>
    <n v="7372.8"/>
    <n v="5479.24"/>
    <n v="1893.56"/>
    <s v="Mar"/>
    <n v="3"/>
    <n v="0.25683051215277775"/>
  </r>
  <r>
    <s v="ORD10038"/>
    <d v="2026-03-26T07:17:28"/>
    <s v="C1038"/>
    <s v="Headset"/>
    <s v="Accessories"/>
    <s v="East"/>
    <n v="1"/>
    <n v="3311"/>
    <n v="5"/>
    <x v="1"/>
    <n v="3145.45"/>
    <n v="2349.71"/>
    <n v="795.74"/>
    <s v="Mar"/>
    <n v="3"/>
    <n v="0.2529812904353908"/>
  </r>
  <r>
    <s v="ORD10039"/>
    <d v="2026-03-28T13:58:29"/>
    <s v="C1039"/>
    <s v="Laptop"/>
    <s v="Electronics"/>
    <s v="South"/>
    <n v="1"/>
    <n v="54816"/>
    <n v="0"/>
    <x v="0"/>
    <n v="54816"/>
    <n v="34482.6"/>
    <n v="20333.400000000001"/>
    <s v="Mar"/>
    <n v="3"/>
    <n v="0.37093914185639232"/>
  </r>
  <r>
    <s v="ORD10040"/>
    <d v="2026-03-30T20:39:30"/>
    <s v="C1040"/>
    <s v="Mouse"/>
    <s v="Accessories"/>
    <s v="West"/>
    <n v="2"/>
    <n v="1171"/>
    <n v="5"/>
    <x v="3"/>
    <n v="2224.9"/>
    <n v="1546.13"/>
    <n v="678.77"/>
    <s v="Mar"/>
    <n v="3"/>
    <n v="0.30507887994966065"/>
  </r>
  <r>
    <s v="ORD10041"/>
    <d v="2026-04-02T03:20:30"/>
    <s v="C1041"/>
    <s v="Monitor"/>
    <s v="Electronics"/>
    <s v="North"/>
    <n v="1"/>
    <n v="14019"/>
    <n v="5"/>
    <x v="1"/>
    <n v="13318.05"/>
    <n v="9924.24"/>
    <n v="3393.81"/>
    <s v="Apr"/>
    <n v="4"/>
    <n v="0.25482784641895773"/>
  </r>
  <r>
    <s v="ORD10042"/>
    <d v="2026-04-04T10:01:31"/>
    <s v="C1042"/>
    <s v="Laptop"/>
    <s v="Electronics"/>
    <s v="East"/>
    <n v="3"/>
    <n v="54957"/>
    <n v="5"/>
    <x v="2"/>
    <n v="156627.45000000001"/>
    <n v="112870.01"/>
    <n v="43757.440000000002"/>
    <s v="Apr"/>
    <n v="4"/>
    <n v="0.27937274085736569"/>
  </r>
  <r>
    <s v="ORD10043"/>
    <d v="2026-04-06T16:42:32"/>
    <s v="C1043"/>
    <s v="Monitor"/>
    <s v="Electronics"/>
    <s v="West"/>
    <n v="4"/>
    <n v="14276"/>
    <n v="5"/>
    <x v="1"/>
    <n v="54248.800000000003"/>
    <n v="42926.97"/>
    <n v="11321.83"/>
    <s v="Apr"/>
    <n v="4"/>
    <n v="0.20870194363746294"/>
  </r>
  <r>
    <s v="ORD10044"/>
    <d v="2026-04-08T23:23:33"/>
    <s v="C1044"/>
    <s v="Mouse"/>
    <s v="Accessories"/>
    <s v="West"/>
    <n v="1"/>
    <n v="1045"/>
    <n v="0"/>
    <x v="1"/>
    <n v="1045"/>
    <n v="785.57"/>
    <n v="259.43"/>
    <s v="Apr"/>
    <n v="4"/>
    <n v="0.24825837320574162"/>
  </r>
  <r>
    <s v="ORD10045"/>
    <d v="2026-04-11T06:04:33"/>
    <s v="C1045"/>
    <s v="Mouse"/>
    <s v="Accessories"/>
    <s v="UnKnown"/>
    <n v="1"/>
    <n v="1372"/>
    <n v="15"/>
    <x v="0"/>
    <n v="1166.2"/>
    <n v="761.05"/>
    <n v="405.15"/>
    <s v="Apr"/>
    <n v="4"/>
    <n v="0.34741039272851992"/>
  </r>
  <r>
    <s v="ORD10046"/>
    <d v="2026-04-13T12:45:34"/>
    <s v="C1046"/>
    <s v="Laptop"/>
    <s v="Electronics"/>
    <s v="East"/>
    <n v="2"/>
    <n v="55317"/>
    <n v="5"/>
    <x v="0"/>
    <n v="105102.3"/>
    <n v="66646.81"/>
    <n v="38455.49"/>
    <s v="Apr"/>
    <n v="4"/>
    <n v="0.36588628412508573"/>
  </r>
  <r>
    <s v="ORD10047"/>
    <d v="2026-04-15T19:26:35"/>
    <s v="C1047"/>
    <s v="Mouse"/>
    <s v="Accessories"/>
    <s v="East"/>
    <n v="2"/>
    <n v="1098"/>
    <n v="5"/>
    <x v="3"/>
    <n v="2086.1999999999998"/>
    <n v="1561.49"/>
    <n v="524.71"/>
    <s v="Apr"/>
    <n v="4"/>
    <n v="0.25151471575112649"/>
  </r>
  <r>
    <s v="ORD10048"/>
    <d v="2026-04-18T02:07:36"/>
    <s v="C1048"/>
    <s v="Headset"/>
    <s v="Accessories"/>
    <s v="North"/>
    <n v="3"/>
    <n v="2836"/>
    <n v="10"/>
    <x v="2"/>
    <n v="7657.2"/>
    <n v="4788.0600000000004"/>
    <n v="2869.14"/>
    <s v="Apr"/>
    <n v="4"/>
    <n v="0.3746983231468422"/>
  </r>
  <r>
    <s v="ORD10049"/>
    <d v="2026-04-20T08:48:36"/>
    <s v="C1049"/>
    <s v="Mouse"/>
    <s v="Accessories"/>
    <s v="East"/>
    <n v="4"/>
    <n v="1279"/>
    <n v="5"/>
    <x v="0"/>
    <n v="4860.2"/>
    <n v="3582.72"/>
    <n v="1277.48"/>
    <s v="Apr"/>
    <n v="4"/>
    <n v="0.26284515040533313"/>
  </r>
  <r>
    <s v="ORD10050"/>
    <d v="2026-04-22T15:29:37"/>
    <s v="C1050"/>
    <s v="Monitor"/>
    <s v="Electronics"/>
    <s v="North"/>
    <n v="2"/>
    <n v="14148"/>
    <n v="10"/>
    <x v="1"/>
    <n v="25466.400000000001"/>
    <n v="20578.02"/>
    <n v="4888.38"/>
    <s v="Apr"/>
    <n v="4"/>
    <n v="0.19195410423145792"/>
  </r>
  <r>
    <s v="ORD10051"/>
    <d v="2026-04-24T22:10:38"/>
    <s v="C1051"/>
    <s v="Monitor"/>
    <s v="Electronics"/>
    <s v="East"/>
    <n v="1"/>
    <n v="14296"/>
    <n v="15"/>
    <x v="3"/>
    <n v="12151.6"/>
    <n v="8932.58"/>
    <n v="3219.02"/>
    <s v="Apr"/>
    <n v="4"/>
    <n v="0.26490503308206326"/>
  </r>
  <r>
    <s v="ORD10052"/>
    <d v="2026-04-27T04:51:39"/>
    <s v="C1052"/>
    <s v="Monitor"/>
    <s v="Electronics"/>
    <s v="South"/>
    <n v="4"/>
    <n v="14101"/>
    <n v="0"/>
    <x v="1"/>
    <n v="56404"/>
    <n v="39349.35"/>
    <n v="17054.650000000001"/>
    <s v="Apr"/>
    <n v="4"/>
    <n v="0.30236596695269841"/>
  </r>
  <r>
    <s v="ORD10053"/>
    <d v="2026-04-29T11:32:39"/>
    <s v="C1053"/>
    <s v="Monitor"/>
    <s v="Electronics"/>
    <s v="East"/>
    <n v="4"/>
    <n v="13980"/>
    <n v="0"/>
    <x v="1"/>
    <n v="55920"/>
    <n v="41864.94"/>
    <n v="14055.06"/>
    <s v="Apr"/>
    <n v="4"/>
    <n v="0.2513422746781116"/>
  </r>
  <r>
    <s v="ORD10054"/>
    <d v="2026-05-01T18:13:40"/>
    <s v="C1054"/>
    <s v="Headset"/>
    <s v="Accessories"/>
    <s v="North"/>
    <n v="1"/>
    <n v="3406"/>
    <n v="15"/>
    <x v="0"/>
    <n v="2895.1"/>
    <n v="2060.3000000000002"/>
    <n v="834.8"/>
    <s v="May"/>
    <n v="5"/>
    <n v="0.28834927981762287"/>
  </r>
  <r>
    <s v="ORD10055"/>
    <d v="2026-05-04T00:54:41"/>
    <s v="C1055"/>
    <s v="Keyboard"/>
    <s v="Accessories"/>
    <s v="North"/>
    <n v="2"/>
    <n v="2098"/>
    <n v="0"/>
    <x v="3"/>
    <n v="4196"/>
    <n v="3059.4"/>
    <n v="1136.5999999999999"/>
    <s v="May"/>
    <n v="5"/>
    <n v="0.27087702573879885"/>
  </r>
  <r>
    <s v="ORD10056"/>
    <d v="2026-05-06T07:35:42"/>
    <s v="C1056"/>
    <s v="Laptop"/>
    <s v="Electronics"/>
    <s v="South"/>
    <n v="1"/>
    <n v="55499"/>
    <n v="15"/>
    <x v="3"/>
    <n v="47174.15"/>
    <n v="38130.53"/>
    <n v="9043.6200000000008"/>
    <s v="May"/>
    <n v="5"/>
    <n v="0.19170711077995048"/>
  </r>
  <r>
    <s v="ORD10057"/>
    <d v="2026-05-08T14:16:43"/>
    <s v="C1057"/>
    <s v="Monitor"/>
    <s v="Electronics"/>
    <s v="East"/>
    <n v="4"/>
    <n v="13915"/>
    <n v="15"/>
    <x v="2"/>
    <n v="47311"/>
    <n v="32986.199999999997"/>
    <n v="14324.8"/>
    <s v="May"/>
    <n v="5"/>
    <n v="0.30277948045908981"/>
  </r>
  <r>
    <s v="ORD10058"/>
    <d v="2026-05-10T20:57:43"/>
    <s v="C1058"/>
    <s v="Mouse"/>
    <s v="Accessories"/>
    <s v="East"/>
    <n v="5"/>
    <n v="1190"/>
    <n v="15"/>
    <x v="0"/>
    <n v="5057.5"/>
    <n v="4107.8900000000003"/>
    <n v="949.61"/>
    <s v="May"/>
    <n v="5"/>
    <n v="0.1877627286208601"/>
  </r>
  <r>
    <s v="ORD10059"/>
    <d v="2026-05-13T03:38:44"/>
    <s v="C1059"/>
    <s v="Monitor"/>
    <s v="Electronics"/>
    <s v="South"/>
    <n v="5"/>
    <n v="14052"/>
    <n v="0"/>
    <x v="0"/>
    <n v="70260"/>
    <n v="56283.19"/>
    <n v="13976.81"/>
    <s v="May"/>
    <n v="5"/>
    <n v="0.19892983205237688"/>
  </r>
  <r>
    <s v="ORD10060"/>
    <d v="2026-05-15T10:19:45"/>
    <s v="C1060"/>
    <s v="Mouse"/>
    <s v="Accessories"/>
    <s v="East"/>
    <n v="3"/>
    <n v="1160"/>
    <n v="10"/>
    <x v="3"/>
    <n v="3132"/>
    <n v="2064.48"/>
    <n v="1067.52"/>
    <s v="May"/>
    <n v="5"/>
    <n v="0.34084291187739463"/>
  </r>
  <r>
    <s v="ORD10061"/>
    <d v="2026-05-17T17:00:46"/>
    <s v="C1061"/>
    <s v="Mouse"/>
    <s v="Accessories"/>
    <s v="East"/>
    <n v="1"/>
    <n v="1255"/>
    <n v="15"/>
    <x v="2"/>
    <n v="1066.75"/>
    <n v="676.18"/>
    <n v="390.57"/>
    <s v="May"/>
    <n v="5"/>
    <n v="0.36613077103351299"/>
  </r>
  <r>
    <s v="ORD10062"/>
    <d v="2026-05-19T23:41:46"/>
    <s v="C1062"/>
    <s v="Monitor"/>
    <s v="Electronics"/>
    <s v="North"/>
    <n v="1"/>
    <n v="14122"/>
    <n v="5"/>
    <x v="2"/>
    <n v="13415.9"/>
    <n v="8588.26"/>
    <n v="4827.6400000000003"/>
    <s v="May"/>
    <n v="5"/>
    <n v="0.35984466193099235"/>
  </r>
  <r>
    <s v="ORD10063"/>
    <d v="2026-05-22T06:22:47"/>
    <s v="C1063"/>
    <s v="Headset"/>
    <s v="Accessories"/>
    <s v="East"/>
    <n v="3"/>
    <n v="2927"/>
    <n v="0"/>
    <x v="2"/>
    <n v="8781"/>
    <n v="5476.22"/>
    <n v="3304.78"/>
    <s v="May"/>
    <n v="5"/>
    <n v="0.37635576813574767"/>
  </r>
  <r>
    <s v="ORD10064"/>
    <d v="2026-05-24T13:03:48"/>
    <s v="C1064"/>
    <s v="Mouse"/>
    <s v="Accessories"/>
    <s v="East"/>
    <n v="3"/>
    <n v="1017"/>
    <n v="15"/>
    <x v="1"/>
    <n v="2593.35"/>
    <n v="1656.86"/>
    <n v="936.49"/>
    <s v="May"/>
    <n v="5"/>
    <n v="0.36111207511519849"/>
  </r>
  <r>
    <s v="ORD10065"/>
    <d v="2026-05-26T19:44:49"/>
    <s v="C1065"/>
    <s v="Mouse"/>
    <s v="Accessories"/>
    <s v="South"/>
    <n v="3"/>
    <n v="1565"/>
    <n v="15"/>
    <x v="2"/>
    <n v="3990.75"/>
    <n v="3019.41"/>
    <n v="971.34"/>
    <s v="May"/>
    <n v="5"/>
    <n v="0.24339785754557414"/>
  </r>
  <r>
    <s v="ORD10066"/>
    <d v="2026-05-29T02:25:49"/>
    <s v="C1066"/>
    <s v="Monitor"/>
    <s v="Electronics"/>
    <s v="South"/>
    <n v="4"/>
    <n v="14369"/>
    <n v="5"/>
    <x v="1"/>
    <n v="54602.2"/>
    <n v="34630.78"/>
    <n v="19971.419999999998"/>
    <s v="May"/>
    <n v="5"/>
    <n v="0.36576218540644884"/>
  </r>
  <r>
    <s v="ORD10067"/>
    <d v="2026-05-31T09:06:50"/>
    <s v="C1067"/>
    <s v="Mouse"/>
    <s v="Accessories"/>
    <s v="West"/>
    <n v="1"/>
    <n v="1322"/>
    <n v="10"/>
    <x v="3"/>
    <n v="1189.8"/>
    <n v="813.58"/>
    <n v="376.22"/>
    <s v="May"/>
    <n v="5"/>
    <n v="0.31620440410152972"/>
  </r>
  <r>
    <s v="ORD10068"/>
    <d v="2026-06-02T15:47:51"/>
    <s v="C1068"/>
    <s v="Mouse"/>
    <s v="Accessories"/>
    <s v="North"/>
    <n v="4"/>
    <n v="1685"/>
    <n v="10"/>
    <x v="1"/>
    <n v="6066"/>
    <n v="4785.92"/>
    <n v="1280.08"/>
    <s v="Jun"/>
    <n v="6"/>
    <n v="0.21102538740520935"/>
  </r>
  <r>
    <s v="ORD10069"/>
    <d v="2026-06-04T22:28:52"/>
    <s v="C1069"/>
    <s v="Monitor"/>
    <s v="Electronics"/>
    <s v="East"/>
    <n v="3"/>
    <n v="14425"/>
    <n v="10"/>
    <x v="3"/>
    <n v="38947.5"/>
    <n v="24328.73"/>
    <n v="14618.77"/>
    <s v="Jun"/>
    <n v="6"/>
    <n v="0.3753455292380769"/>
  </r>
  <r>
    <s v="ORD10070"/>
    <d v="2026-06-07T05:09:52"/>
    <s v="C1070"/>
    <s v="Monitor"/>
    <s v="Electronics"/>
    <s v="East"/>
    <n v="1"/>
    <n v="14087"/>
    <n v="15"/>
    <x v="2"/>
    <n v="11973.95"/>
    <n v="9374.33"/>
    <n v="2599.62"/>
    <s v="Jun"/>
    <n v="6"/>
    <n v="0.21710630159638211"/>
  </r>
  <r>
    <s v="ORD10071"/>
    <d v="2026-06-09T11:50:53"/>
    <s v="C1011"/>
    <s v="Laptop"/>
    <s v="Electronics"/>
    <s v="West"/>
    <n v="4"/>
    <n v="55462"/>
    <n v="15"/>
    <x v="2"/>
    <n v="188570.8"/>
    <n v="127543.81"/>
    <n v="61026.99"/>
    <s v="Jun"/>
    <n v="6"/>
    <n v="0.32362905603624742"/>
  </r>
  <r>
    <s v="ORD10072"/>
    <d v="2026-06-11T18:31:54"/>
    <s v="C1072"/>
    <s v="Headset"/>
    <s v="Accessories"/>
    <s v="East"/>
    <n v="4"/>
    <n v="3438"/>
    <n v="15"/>
    <x v="3"/>
    <n v="11689.2"/>
    <n v="7523.55"/>
    <n v="4165.6499999999996"/>
    <s v="Jun"/>
    <n v="6"/>
    <n v="0.35636741607637812"/>
  </r>
  <r>
    <s v="ORD10073"/>
    <d v="2026-06-14T01:12:55"/>
    <s v="C1073"/>
    <s v="Headset"/>
    <s v="Accessories"/>
    <s v="North"/>
    <n v="3"/>
    <n v="2954"/>
    <n v="0"/>
    <x v="0"/>
    <n v="8862"/>
    <n v="6729.34"/>
    <n v="2132.66"/>
    <s v="Jun"/>
    <n v="6"/>
    <n v="0.24065222297449784"/>
  </r>
  <r>
    <s v="ORD10074"/>
    <d v="2026-06-16T07:53:55"/>
    <s v="C1074"/>
    <s v="Mouse"/>
    <s v="Accessories"/>
    <s v="West"/>
    <n v="1"/>
    <n v="1489"/>
    <n v="5"/>
    <x v="3"/>
    <n v="1414.55"/>
    <n v="1054.96"/>
    <n v="359.59"/>
    <s v="Jun"/>
    <n v="6"/>
    <n v="0.25420805203068114"/>
  </r>
  <r>
    <s v="ORD10075"/>
    <d v="2026-06-18T14:34:56"/>
    <s v="C1075"/>
    <s v="Headset"/>
    <s v="Accessories"/>
    <s v="North"/>
    <n v="3"/>
    <n v="3185"/>
    <n v="15"/>
    <x v="0"/>
    <n v="8121.75"/>
    <n v="6460.81"/>
    <n v="1660.94"/>
    <s v="Jun"/>
    <n v="6"/>
    <n v="0.20450518669006065"/>
  </r>
  <r>
    <s v="ORD10076"/>
    <d v="2026-06-20T21:15:57"/>
    <s v="C1076"/>
    <s v="Mouse"/>
    <s v="Accessories"/>
    <s v="West"/>
    <n v="1"/>
    <n v="1103"/>
    <n v="5"/>
    <x v="1"/>
    <n v="1047.8499999999999"/>
    <n v="803.72"/>
    <n v="244.13"/>
    <s v="Jun"/>
    <n v="6"/>
    <n v="0.23298181991697287"/>
  </r>
  <r>
    <s v="ORD10077"/>
    <d v="2026-06-23T03:56:58"/>
    <s v="C1077"/>
    <s v="Laptop"/>
    <s v="Electronics"/>
    <s v="West"/>
    <n v="5"/>
    <n v="55192"/>
    <n v="5"/>
    <x v="1"/>
    <n v="262162"/>
    <n v="204668.87"/>
    <n v="57493.13"/>
    <s v="Jun"/>
    <n v="6"/>
    <n v="0.2193038274044293"/>
  </r>
  <r>
    <s v="ORD10078"/>
    <d v="2026-06-25T10:37:58"/>
    <s v="C1078"/>
    <s v="Monitor"/>
    <s v="Electronics"/>
    <s v="South"/>
    <n v="2"/>
    <n v="14045"/>
    <n v="10"/>
    <x v="1"/>
    <n v="25281"/>
    <n v="17100.240000000002"/>
    <n v="8180.76"/>
    <s v="Jun"/>
    <n v="6"/>
    <n v="0.32359321229381749"/>
  </r>
  <r>
    <s v="ORD10079"/>
    <d v="2026-06-27T17:18:59"/>
    <s v="C1079"/>
    <s v="Monitor"/>
    <s v="Electronics"/>
    <s v="North"/>
    <n v="2"/>
    <n v="13975"/>
    <n v="0"/>
    <x v="2"/>
    <n v="27950"/>
    <n v="18320.89"/>
    <n v="9629.11"/>
    <s v="Jun"/>
    <n v="6"/>
    <n v="0.34451198568872987"/>
  </r>
  <r>
    <s v="ORD10080"/>
    <d v="2026-06-30T00:00:00"/>
    <s v="C1080"/>
    <s v="Monitor"/>
    <s v="Electronics"/>
    <s v="East"/>
    <n v="2"/>
    <n v="13838"/>
    <n v="15"/>
    <x v="1"/>
    <n v="23524.6"/>
    <n v="18116.830000000002"/>
    <n v="5407.77"/>
    <s v="Jun"/>
    <n v="6"/>
    <n v="0.2298772348945359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d v="2026-01-01T00:00:00"/>
    <s v="C1001"/>
    <s v="Monitor"/>
    <s v="Electronics"/>
    <s v="North"/>
    <n v="3"/>
    <n v="13962"/>
    <n v="0"/>
    <x v="0"/>
    <n v="41886"/>
    <n v="28238.14"/>
    <n v="13647.86"/>
    <x v="0"/>
    <n v="1"/>
    <n v="0.32583345270496111"/>
  </r>
  <r>
    <s v="ORD10002"/>
    <d v="2026-01-03T06:41:01"/>
    <s v="C1002"/>
    <s v="Headset"/>
    <s v="Accessories"/>
    <s v="North"/>
    <n v="1"/>
    <n v="3480"/>
    <n v="5"/>
    <x v="1"/>
    <n v="3306"/>
    <n v="2339.9699999999998"/>
    <n v="966.03"/>
    <x v="0"/>
    <n v="1"/>
    <n v="0.29220508166969145"/>
  </r>
  <r>
    <s v="ORD10003"/>
    <d v="2026-01-05T13:22:02"/>
    <s v="C1003"/>
    <s v="Keyboard"/>
    <s v="Accessories"/>
    <s v="North"/>
    <n v="2"/>
    <n v="2160"/>
    <n v="10"/>
    <x v="0"/>
    <n v="3888"/>
    <n v="2471.5700000000002"/>
    <n v="1416.43"/>
    <x v="0"/>
    <n v="1"/>
    <n v="0.36430812757201647"/>
  </r>
  <r>
    <s v="ORD10004"/>
    <d v="2026-01-07T20:03:02"/>
    <s v="C1004"/>
    <s v="Headset"/>
    <s v="Accessories"/>
    <s v="South"/>
    <n v="2"/>
    <n v="3379"/>
    <n v="5"/>
    <x v="0"/>
    <n v="6420.1"/>
    <n v="4013.01"/>
    <n v="2407.09"/>
    <x v="0"/>
    <n v="1"/>
    <n v="0.37493029703587172"/>
  </r>
  <r>
    <s v="ORD10005"/>
    <d v="2026-01-10T02:44:03"/>
    <s v="C1005"/>
    <s v="Headset"/>
    <s v="Accessories"/>
    <s v="North"/>
    <n v="4"/>
    <n v="3197"/>
    <n v="10"/>
    <x v="1"/>
    <n v="11509.2"/>
    <n v="9351.57"/>
    <n v="2157.63"/>
    <x v="0"/>
    <n v="1"/>
    <n v="0.18747002398081536"/>
  </r>
  <r>
    <s v="ORD10006"/>
    <d v="2026-01-12T09:25:04"/>
    <s v="C1006"/>
    <s v="Mouse"/>
    <s v="Accessories"/>
    <s v="North"/>
    <n v="5"/>
    <n v="1276"/>
    <n v="5"/>
    <x v="2"/>
    <n v="6061"/>
    <n v="4771.2"/>
    <n v="1289.8"/>
    <x v="0"/>
    <n v="1"/>
    <n v="0.21280316779409339"/>
  </r>
  <r>
    <s v="ORD10007"/>
    <d v="2026-01-14T16:06:05"/>
    <s v="C1007"/>
    <s v="Keyboard"/>
    <s v="Accessories"/>
    <s v="North"/>
    <n v="1"/>
    <n v="2503"/>
    <n v="0"/>
    <x v="1"/>
    <n v="2503"/>
    <n v="1900.26"/>
    <n v="602.74"/>
    <x v="0"/>
    <n v="1"/>
    <n v="0.24080703156212546"/>
  </r>
  <r>
    <s v="ORD10008"/>
    <d v="2026-01-16T22:47:05"/>
    <s v="C1008"/>
    <s v="Keyboard"/>
    <s v="Accessories"/>
    <s v="East"/>
    <n v="1"/>
    <n v="2391"/>
    <n v="15"/>
    <x v="2"/>
    <n v="2032.35"/>
    <n v="1426.28"/>
    <n v="606.07000000000005"/>
    <x v="0"/>
    <n v="1"/>
    <n v="0.2982114301178439"/>
  </r>
  <r>
    <s v="ORD10009"/>
    <d v="2026-01-19T05:28:06"/>
    <s v="C1009"/>
    <s v="Keyboard"/>
    <s v="Accessories"/>
    <s v="North"/>
    <n v="3"/>
    <n v="2134"/>
    <n v="0"/>
    <x v="1"/>
    <n v="6402"/>
    <n v="4191.13"/>
    <n v="2210.87"/>
    <x v="0"/>
    <n v="1"/>
    <n v="0.34534051858794124"/>
  </r>
  <r>
    <s v="ORD10010"/>
    <d v="2026-01-21T12:09:07"/>
    <s v="C1010"/>
    <s v="Headset"/>
    <s v="Accessories"/>
    <s v="West"/>
    <n v="2"/>
    <n v="2994"/>
    <n v="15"/>
    <x v="0"/>
    <n v="5089.8"/>
    <n v="3314.92"/>
    <n v="1774.88"/>
    <x v="0"/>
    <n v="1"/>
    <n v="0.34871311249950881"/>
  </r>
  <r>
    <s v="ORD10011"/>
    <d v="2026-01-23T18:50:08"/>
    <s v="C1011"/>
    <s v="Monitor"/>
    <s v="Electronics"/>
    <s v="North"/>
    <n v="5"/>
    <n v="14200"/>
    <n v="5"/>
    <x v="0"/>
    <n v="67450"/>
    <n v="45194.78"/>
    <n v="22255.22"/>
    <x v="0"/>
    <n v="1"/>
    <n v="0.329951371386212"/>
  </r>
  <r>
    <s v="ORD10012"/>
    <d v="2026-01-26T01:31:08"/>
    <s v="C1012"/>
    <s v="Keyboard"/>
    <s v="Accessories"/>
    <s v="West"/>
    <n v="4"/>
    <n v="2639"/>
    <n v="10"/>
    <x v="3"/>
    <n v="9500.4"/>
    <n v="6933.82"/>
    <n v="2566.58"/>
    <x v="0"/>
    <n v="1"/>
    <n v="0.27015494084459601"/>
  </r>
  <r>
    <s v="ORD10013"/>
    <d v="2026-01-28T08:12:09"/>
    <s v="C1013"/>
    <s v="Headset"/>
    <s v="Accessories"/>
    <s v="West"/>
    <n v="2"/>
    <n v="2832"/>
    <n v="0"/>
    <x v="2"/>
    <n v="5664"/>
    <n v="4321.17"/>
    <n v="1342.83"/>
    <x v="0"/>
    <n v="1"/>
    <n v="0.23708156779661016"/>
  </r>
  <r>
    <s v="ORD10014"/>
    <d v="2026-01-30T14:53:10"/>
    <s v="C1014"/>
    <s v="Mouse"/>
    <s v="Accessories"/>
    <s v="West"/>
    <n v="4"/>
    <n v="1687"/>
    <n v="15"/>
    <x v="3"/>
    <n v="5735.8"/>
    <n v="4313.55"/>
    <n v="1422.25"/>
    <x v="0"/>
    <n v="1"/>
    <n v="0.24796017992259142"/>
  </r>
  <r>
    <s v="ORD10015"/>
    <d v="2026-02-01T21:34:11"/>
    <s v="C1015"/>
    <s v="Monitor"/>
    <s v="Electronics"/>
    <s v="East"/>
    <n v="3"/>
    <n v="14259"/>
    <n v="0"/>
    <x v="3"/>
    <n v="42777"/>
    <n v="28916.69"/>
    <n v="13860.31"/>
    <x v="1"/>
    <n v="2"/>
    <n v="0.32401313790120856"/>
  </r>
  <r>
    <s v="ORD10016"/>
    <d v="2026-02-04T04:15:11"/>
    <s v="C1016"/>
    <s v="Mouse"/>
    <s v="Accessories"/>
    <s v="East"/>
    <n v="3"/>
    <n v="1469"/>
    <n v="15"/>
    <x v="1"/>
    <n v="3745.95"/>
    <n v="3037.86"/>
    <n v="708.09"/>
    <x v="1"/>
    <n v="2"/>
    <n v="0.18902815040243465"/>
  </r>
  <r>
    <s v="ORD10017"/>
    <d v="2026-02-06T10:56:12"/>
    <s v="C1017"/>
    <s v="Monitor"/>
    <s v="Electronics"/>
    <s v="East"/>
    <n v="1"/>
    <n v="14174"/>
    <n v="0"/>
    <x v="3"/>
    <n v="14174"/>
    <n v="10879.67"/>
    <n v="3294.33"/>
    <x v="1"/>
    <n v="2"/>
    <n v="0.23242062932129251"/>
  </r>
  <r>
    <s v="ORD10018"/>
    <d v="2026-02-08T17:37:13"/>
    <s v="C1018"/>
    <s v="Headset"/>
    <s v="Accessories"/>
    <s v="North"/>
    <n v="5"/>
    <n v="2821"/>
    <n v="15"/>
    <x v="1"/>
    <n v="11989.25"/>
    <n v="8762.59"/>
    <n v="3226.66"/>
    <x v="1"/>
    <n v="2"/>
    <n v="0.26912942844631649"/>
  </r>
  <r>
    <s v="ORD10019"/>
    <d v="2026-02-11T00:18:14"/>
    <s v="C1019"/>
    <s v="Laptop"/>
    <s v="Electronics"/>
    <s v="West"/>
    <n v="4"/>
    <n v="55469"/>
    <n v="15"/>
    <x v="1"/>
    <n v="188594.6"/>
    <n v="140002.1"/>
    <n v="48592.5"/>
    <x v="1"/>
    <n v="2"/>
    <n v="0.25765583956274463"/>
  </r>
  <r>
    <s v="ORD10020"/>
    <d v="2026-02-13T06:59:14"/>
    <s v="C1020"/>
    <s v="Monitor"/>
    <s v="Electronics"/>
    <s v="East"/>
    <n v="2"/>
    <n v="13837"/>
    <n v="5"/>
    <x v="3"/>
    <n v="26290.3"/>
    <n v="18506.27"/>
    <n v="7784.03"/>
    <x v="1"/>
    <n v="2"/>
    <n v="0.29607992301343083"/>
  </r>
  <r>
    <s v="ORD10021"/>
    <d v="2026-02-15T13:40:15"/>
    <s v="C1021"/>
    <s v="Mouse"/>
    <s v="Accessories"/>
    <s v="East"/>
    <n v="3"/>
    <n v="1229"/>
    <n v="15"/>
    <x v="2"/>
    <n v="3133.95"/>
    <n v="2098.3200000000002"/>
    <n v="1035.6300000000001"/>
    <x v="1"/>
    <n v="2"/>
    <n v="0.33045517637486244"/>
  </r>
  <r>
    <s v="ORD10022"/>
    <d v="2026-02-17T20:21:16"/>
    <s v="C1022"/>
    <s v="Headset"/>
    <s v="Accessories"/>
    <s v="North"/>
    <n v="1"/>
    <n v="3164"/>
    <n v="5"/>
    <x v="2"/>
    <n v="3005.8"/>
    <n v="2077.59"/>
    <n v="928.21"/>
    <x v="1"/>
    <n v="2"/>
    <n v="0.30880630780491047"/>
  </r>
  <r>
    <s v="ORD10023"/>
    <d v="2026-02-20T03:02:17"/>
    <s v="C1023"/>
    <s v="Mouse"/>
    <s v="Electronics"/>
    <s v="East"/>
    <n v="1"/>
    <n v="14362"/>
    <n v="15"/>
    <x v="2"/>
    <n v="12207.7"/>
    <n v="9419.09"/>
    <n v="2788.61"/>
    <x v="1"/>
    <n v="2"/>
    <n v="0.2284304168680423"/>
  </r>
  <r>
    <s v="ORD10024"/>
    <d v="2026-02-22T09:43:17"/>
    <s v="C1024"/>
    <s v="Laptop"/>
    <s v="Electronics"/>
    <s v="North"/>
    <n v="4"/>
    <n v="55237"/>
    <n v="10"/>
    <x v="2"/>
    <n v="198853.2"/>
    <n v="123861.42"/>
    <n v="74991.78"/>
    <x v="1"/>
    <n v="2"/>
    <n v="0.37712131361225265"/>
  </r>
  <r>
    <s v="ORD10025"/>
    <d v="2026-02-24T16:24:18"/>
    <s v="C1025"/>
    <s v="Laptop"/>
    <s v="Electronics"/>
    <s v="South"/>
    <n v="3"/>
    <n v="55082"/>
    <n v="10"/>
    <x v="2"/>
    <n v="148721.4"/>
    <n v="95659.77"/>
    <n v="53061.63"/>
    <x v="1"/>
    <n v="2"/>
    <n v="0.3567854390827413"/>
  </r>
  <r>
    <s v="ORD10026"/>
    <d v="2026-02-26T23:05:19"/>
    <s v="C1026"/>
    <s v="Keyboard"/>
    <s v="Accessories"/>
    <s v="East"/>
    <n v="5"/>
    <n v="2026"/>
    <n v="10"/>
    <x v="3"/>
    <n v="9117"/>
    <n v="5736.42"/>
    <n v="3380.58"/>
    <x v="1"/>
    <n v="2"/>
    <n v="0.37079960513326754"/>
  </r>
  <r>
    <s v="ORD10027"/>
    <d v="2026-03-01T05:46:20"/>
    <s v="C1027"/>
    <s v="Keyboard"/>
    <s v="Accessories"/>
    <s v="South"/>
    <n v="3"/>
    <n v="2225"/>
    <n v="15"/>
    <x v="3"/>
    <n v="5673.75"/>
    <n v="3563.94"/>
    <n v="2109.81"/>
    <x v="2"/>
    <n v="3"/>
    <n v="0.37185459352280237"/>
  </r>
  <r>
    <s v="ORD10028"/>
    <d v="2026-03-03T12:27:21"/>
    <s v="C1028"/>
    <s v="Mouse"/>
    <s v="Accessories"/>
    <s v="North"/>
    <n v="4"/>
    <n v="1276"/>
    <n v="5"/>
    <x v="0"/>
    <n v="4848.8"/>
    <n v="3835.85"/>
    <n v="1012.95"/>
    <x v="2"/>
    <n v="3"/>
    <n v="0.20890735852169609"/>
  </r>
  <r>
    <s v="ORD10029"/>
    <d v="2026-03-05T19:08:21"/>
    <s v="C1029"/>
    <s v="Monitor"/>
    <s v="Electronics"/>
    <s v="West"/>
    <n v="4"/>
    <n v="14408"/>
    <n v="5"/>
    <x v="2"/>
    <n v="54750.400000000001"/>
    <n v="41650.36"/>
    <n v="13100.04"/>
    <x v="2"/>
    <n v="3"/>
    <n v="0.23926838890674773"/>
  </r>
  <r>
    <s v="ORD10030"/>
    <d v="2026-03-08T01:49:22"/>
    <s v="C1030"/>
    <s v="Monitor"/>
    <s v="Electronics"/>
    <s v="East"/>
    <n v="3"/>
    <n v="14083"/>
    <n v="15"/>
    <x v="3"/>
    <n v="35911.65"/>
    <n v="25670.9"/>
    <n v="10240.75"/>
    <x v="2"/>
    <n v="3"/>
    <n v="0.28516512051103193"/>
  </r>
  <r>
    <s v="ORD10031"/>
    <d v="2026-03-10T08:30:23"/>
    <s v="C1031"/>
    <s v="Keyboard"/>
    <s v="Accessories"/>
    <s v="North"/>
    <n v="4"/>
    <n v="2480"/>
    <n v="10"/>
    <x v="0"/>
    <n v="8928"/>
    <n v="5710.05"/>
    <n v="3217.95"/>
    <x v="2"/>
    <n v="3"/>
    <n v="0.36043346774193546"/>
  </r>
  <r>
    <s v="ORD10032"/>
    <d v="2026-03-12T15:11:24"/>
    <s v="C1032"/>
    <s v="Monitor"/>
    <s v="Electronics"/>
    <s v="West"/>
    <n v="3"/>
    <n v="14252"/>
    <n v="0"/>
    <x v="2"/>
    <n v="38480.400000000001"/>
    <n v="27641.360000000001"/>
    <n v="10839.04"/>
    <x v="2"/>
    <n v="3"/>
    <n v="0.28167690564547149"/>
  </r>
  <r>
    <s v="ORD10033"/>
    <d v="2026-03-14T21:52:24"/>
    <s v="C1033"/>
    <s v="Monitor"/>
    <s v="Electronics"/>
    <s v="West"/>
    <n v="2"/>
    <n v="14458"/>
    <n v="5"/>
    <x v="1"/>
    <n v="27470.2"/>
    <n v="19632.8"/>
    <n v="7837.4"/>
    <x v="2"/>
    <n v="3"/>
    <n v="0.28530553108459344"/>
  </r>
  <r>
    <s v="ORD10034"/>
    <d v="2026-03-17T04:33:25"/>
    <s v="C1034"/>
    <s v="Laptop"/>
    <s v="Electronics"/>
    <s v="South"/>
    <n v="3"/>
    <n v="55315"/>
    <n v="10"/>
    <x v="0"/>
    <n v="149350.5"/>
    <n v="97770.87"/>
    <n v="51579.63"/>
    <x v="2"/>
    <n v="3"/>
    <n v="0.34535960709873753"/>
  </r>
  <r>
    <s v="ORD10035"/>
    <d v="2026-03-19T11:14:26"/>
    <s v="C1035"/>
    <s v="Keyboard"/>
    <s v="Accessories"/>
    <s v="North"/>
    <n v="3"/>
    <n v="2546"/>
    <n v="0"/>
    <x v="3"/>
    <n v="7638"/>
    <n v="5398.31"/>
    <n v="2239.69"/>
    <x v="2"/>
    <n v="3"/>
    <n v="0.29322990311599895"/>
  </r>
  <r>
    <s v="ORD10036"/>
    <d v="2026-03-21T17:55:27"/>
    <s v="C1036"/>
    <s v="Headset"/>
    <s v="Accessories"/>
    <s v="West"/>
    <n v="4"/>
    <n v="2991"/>
    <n v="5"/>
    <x v="1"/>
    <n v="11365.8"/>
    <n v="7952.66"/>
    <n v="3413.14"/>
    <x v="2"/>
    <n v="3"/>
    <n v="0.30029914304316457"/>
  </r>
  <r>
    <s v="ORD10037"/>
    <d v="2026-03-24T00:36:27"/>
    <s v="C1037"/>
    <s v="Keyboard"/>
    <s v="Accessories"/>
    <s v="East"/>
    <n v="4"/>
    <n v="2048"/>
    <n v="10"/>
    <x v="1"/>
    <n v="7372.8"/>
    <n v="5479.24"/>
    <n v="1893.56"/>
    <x v="2"/>
    <n v="3"/>
    <n v="0.25683051215277775"/>
  </r>
  <r>
    <s v="ORD10038"/>
    <d v="2026-03-26T07:17:28"/>
    <s v="C1038"/>
    <s v="Headset"/>
    <s v="Accessories"/>
    <s v="East"/>
    <n v="1"/>
    <n v="3311"/>
    <n v="5"/>
    <x v="1"/>
    <n v="3145.45"/>
    <n v="2349.71"/>
    <n v="795.74"/>
    <x v="2"/>
    <n v="3"/>
    <n v="0.2529812904353908"/>
  </r>
  <r>
    <s v="ORD10039"/>
    <d v="2026-03-28T13:58:29"/>
    <s v="C1039"/>
    <s v="Laptop"/>
    <s v="Electronics"/>
    <s v="South"/>
    <n v="1"/>
    <n v="54816"/>
    <n v="0"/>
    <x v="0"/>
    <n v="54816"/>
    <n v="34482.6"/>
    <n v="20333.400000000001"/>
    <x v="2"/>
    <n v="3"/>
    <n v="0.37093914185639232"/>
  </r>
  <r>
    <s v="ORD10040"/>
    <d v="2026-03-30T20:39:30"/>
    <s v="C1040"/>
    <s v="Mouse"/>
    <s v="Accessories"/>
    <s v="West"/>
    <n v="2"/>
    <n v="1171"/>
    <n v="5"/>
    <x v="3"/>
    <n v="2224.9"/>
    <n v="1546.13"/>
    <n v="678.77"/>
    <x v="2"/>
    <n v="3"/>
    <n v="0.30507887994966065"/>
  </r>
  <r>
    <s v="ORD10041"/>
    <d v="2026-04-02T03:20:30"/>
    <s v="C1041"/>
    <s v="Monitor"/>
    <s v="Electronics"/>
    <s v="North"/>
    <n v="1"/>
    <n v="14019"/>
    <n v="5"/>
    <x v="1"/>
    <n v="13318.05"/>
    <n v="9924.24"/>
    <n v="3393.81"/>
    <x v="3"/>
    <n v="4"/>
    <n v="0.25482784641895773"/>
  </r>
  <r>
    <s v="ORD10042"/>
    <d v="2026-04-04T10:01:31"/>
    <s v="C1042"/>
    <s v="Laptop"/>
    <s v="Electronics"/>
    <s v="East"/>
    <n v="3"/>
    <n v="54957"/>
    <n v="5"/>
    <x v="2"/>
    <n v="156627.45000000001"/>
    <n v="112870.01"/>
    <n v="43757.440000000002"/>
    <x v="3"/>
    <n v="4"/>
    <n v="0.27937274085736569"/>
  </r>
  <r>
    <s v="ORD10043"/>
    <d v="2026-04-06T16:42:32"/>
    <s v="C1043"/>
    <s v="Monitor"/>
    <s v="Electronics"/>
    <s v="West"/>
    <n v="4"/>
    <n v="14276"/>
    <n v="5"/>
    <x v="1"/>
    <n v="54248.800000000003"/>
    <n v="42926.97"/>
    <n v="11321.83"/>
    <x v="3"/>
    <n v="4"/>
    <n v="0.20870194363746294"/>
  </r>
  <r>
    <s v="ORD10044"/>
    <d v="2026-04-08T23:23:33"/>
    <s v="C1044"/>
    <s v="Mouse"/>
    <s v="Accessories"/>
    <s v="West"/>
    <n v="1"/>
    <n v="1045"/>
    <n v="0"/>
    <x v="1"/>
    <n v="1045"/>
    <n v="785.57"/>
    <n v="259.43"/>
    <x v="3"/>
    <n v="4"/>
    <n v="0.24825837320574162"/>
  </r>
  <r>
    <s v="ORD10045"/>
    <d v="2026-04-11T06:04:33"/>
    <s v="C1045"/>
    <s v="Mouse"/>
    <s v="Accessories"/>
    <s v="UnKnown"/>
    <n v="1"/>
    <n v="1372"/>
    <n v="15"/>
    <x v="0"/>
    <n v="1166.2"/>
    <n v="761.05"/>
    <n v="405.15"/>
    <x v="3"/>
    <n v="4"/>
    <n v="0.34741039272851992"/>
  </r>
  <r>
    <s v="ORD10046"/>
    <d v="2026-04-13T12:45:34"/>
    <s v="C1046"/>
    <s v="Laptop"/>
    <s v="Electronics"/>
    <s v="East"/>
    <n v="2"/>
    <n v="55317"/>
    <n v="5"/>
    <x v="0"/>
    <n v="105102.3"/>
    <n v="66646.81"/>
    <n v="38455.49"/>
    <x v="3"/>
    <n v="4"/>
    <n v="0.36588628412508573"/>
  </r>
  <r>
    <s v="ORD10047"/>
    <d v="2026-04-15T19:26:35"/>
    <s v="C1047"/>
    <s v="Mouse"/>
    <s v="Accessories"/>
    <s v="East"/>
    <n v="2"/>
    <n v="1098"/>
    <n v="5"/>
    <x v="3"/>
    <n v="2086.1999999999998"/>
    <n v="1561.49"/>
    <n v="524.71"/>
    <x v="3"/>
    <n v="4"/>
    <n v="0.25151471575112649"/>
  </r>
  <r>
    <s v="ORD10048"/>
    <d v="2026-04-18T02:07:36"/>
    <s v="C1048"/>
    <s v="Headset"/>
    <s v="Accessories"/>
    <s v="North"/>
    <n v="3"/>
    <n v="2836"/>
    <n v="10"/>
    <x v="2"/>
    <n v="7657.2"/>
    <n v="4788.0600000000004"/>
    <n v="2869.14"/>
    <x v="3"/>
    <n v="4"/>
    <n v="0.3746983231468422"/>
  </r>
  <r>
    <s v="ORD10049"/>
    <d v="2026-04-20T08:48:36"/>
    <s v="C1049"/>
    <s v="Mouse"/>
    <s v="Accessories"/>
    <s v="East"/>
    <n v="4"/>
    <n v="1279"/>
    <n v="5"/>
    <x v="0"/>
    <n v="4860.2"/>
    <n v="3582.72"/>
    <n v="1277.48"/>
    <x v="3"/>
    <n v="4"/>
    <n v="0.26284515040533313"/>
  </r>
  <r>
    <s v="ORD10050"/>
    <d v="2026-04-22T15:29:37"/>
    <s v="C1050"/>
    <s v="Monitor"/>
    <s v="Electronics"/>
    <s v="North"/>
    <n v="2"/>
    <n v="14148"/>
    <n v="10"/>
    <x v="1"/>
    <n v="25466.400000000001"/>
    <n v="20578.02"/>
    <n v="4888.38"/>
    <x v="3"/>
    <n v="4"/>
    <n v="0.19195410423145792"/>
  </r>
  <r>
    <s v="ORD10051"/>
    <d v="2026-04-24T22:10:38"/>
    <s v="C1051"/>
    <s v="Monitor"/>
    <s v="Electronics"/>
    <s v="East"/>
    <n v="1"/>
    <n v="14296"/>
    <n v="15"/>
    <x v="3"/>
    <n v="12151.6"/>
    <n v="8932.58"/>
    <n v="3219.02"/>
    <x v="3"/>
    <n v="4"/>
    <n v="0.26490503308206326"/>
  </r>
  <r>
    <s v="ORD10052"/>
    <d v="2026-04-27T04:51:39"/>
    <s v="C1052"/>
    <s v="Monitor"/>
    <s v="Electronics"/>
    <s v="South"/>
    <n v="4"/>
    <n v="14101"/>
    <n v="0"/>
    <x v="1"/>
    <n v="56404"/>
    <n v="39349.35"/>
    <n v="17054.650000000001"/>
    <x v="3"/>
    <n v="4"/>
    <n v="0.30236596695269841"/>
  </r>
  <r>
    <s v="ORD10053"/>
    <d v="2026-04-29T11:32:39"/>
    <s v="C1053"/>
    <s v="Monitor"/>
    <s v="Electronics"/>
    <s v="East"/>
    <n v="4"/>
    <n v="13980"/>
    <n v="0"/>
    <x v="1"/>
    <n v="55920"/>
    <n v="41864.94"/>
    <n v="14055.06"/>
    <x v="3"/>
    <n v="4"/>
    <n v="0.2513422746781116"/>
  </r>
  <r>
    <s v="ORD10054"/>
    <d v="2026-05-01T18:13:40"/>
    <s v="C1054"/>
    <s v="Headset"/>
    <s v="Accessories"/>
    <s v="North"/>
    <n v="1"/>
    <n v="3406"/>
    <n v="15"/>
    <x v="0"/>
    <n v="2895.1"/>
    <n v="2060.3000000000002"/>
    <n v="834.8"/>
    <x v="4"/>
    <n v="5"/>
    <n v="0.28834927981762287"/>
  </r>
  <r>
    <s v="ORD10055"/>
    <d v="2026-05-04T00:54:41"/>
    <s v="C1055"/>
    <s v="Keyboard"/>
    <s v="Accessories"/>
    <s v="North"/>
    <n v="2"/>
    <n v="2098"/>
    <n v="0"/>
    <x v="3"/>
    <n v="4196"/>
    <n v="3059.4"/>
    <n v="1136.5999999999999"/>
    <x v="4"/>
    <n v="5"/>
    <n v="0.27087702573879885"/>
  </r>
  <r>
    <s v="ORD10056"/>
    <d v="2026-05-06T07:35:42"/>
    <s v="C1056"/>
    <s v="Laptop"/>
    <s v="Electronics"/>
    <s v="South"/>
    <n v="1"/>
    <n v="55499"/>
    <n v="15"/>
    <x v="3"/>
    <n v="47174.15"/>
    <n v="38130.53"/>
    <n v="9043.6200000000008"/>
    <x v="4"/>
    <n v="5"/>
    <n v="0.19170711077995048"/>
  </r>
  <r>
    <s v="ORD10057"/>
    <d v="2026-05-08T14:16:43"/>
    <s v="C1057"/>
    <s v="Monitor"/>
    <s v="Electronics"/>
    <s v="East"/>
    <n v="4"/>
    <n v="13915"/>
    <n v="15"/>
    <x v="2"/>
    <n v="47311"/>
    <n v="32986.199999999997"/>
    <n v="14324.8"/>
    <x v="4"/>
    <n v="5"/>
    <n v="0.30277948045908981"/>
  </r>
  <r>
    <s v="ORD10058"/>
    <d v="2026-05-10T20:57:43"/>
    <s v="C1058"/>
    <s v="Mouse"/>
    <s v="Accessories"/>
    <s v="East"/>
    <n v="5"/>
    <n v="1190"/>
    <n v="15"/>
    <x v="0"/>
    <n v="5057.5"/>
    <n v="4107.8900000000003"/>
    <n v="949.61"/>
    <x v="4"/>
    <n v="5"/>
    <n v="0.1877627286208601"/>
  </r>
  <r>
    <s v="ORD10059"/>
    <d v="2026-05-13T03:38:44"/>
    <s v="C1059"/>
    <s v="Monitor"/>
    <s v="Electronics"/>
    <s v="South"/>
    <n v="5"/>
    <n v="14052"/>
    <n v="0"/>
    <x v="0"/>
    <n v="70260"/>
    <n v="56283.19"/>
    <n v="13976.81"/>
    <x v="4"/>
    <n v="5"/>
    <n v="0.19892983205237688"/>
  </r>
  <r>
    <s v="ORD10060"/>
    <d v="2026-05-15T10:19:45"/>
    <s v="C1060"/>
    <s v="Mouse"/>
    <s v="Accessories"/>
    <s v="East"/>
    <n v="3"/>
    <n v="1160"/>
    <n v="10"/>
    <x v="3"/>
    <n v="3132"/>
    <n v="2064.48"/>
    <n v="1067.52"/>
    <x v="4"/>
    <n v="5"/>
    <n v="0.34084291187739463"/>
  </r>
  <r>
    <s v="ORD10061"/>
    <d v="2026-05-17T17:00:46"/>
    <s v="C1061"/>
    <s v="Mouse"/>
    <s v="Accessories"/>
    <s v="East"/>
    <n v="1"/>
    <n v="1255"/>
    <n v="15"/>
    <x v="2"/>
    <n v="1066.75"/>
    <n v="676.18"/>
    <n v="390.57"/>
    <x v="4"/>
    <n v="5"/>
    <n v="0.36613077103351299"/>
  </r>
  <r>
    <s v="ORD10062"/>
    <d v="2026-05-19T23:41:46"/>
    <s v="C1062"/>
    <s v="Monitor"/>
    <s v="Electronics"/>
    <s v="North"/>
    <n v="1"/>
    <n v="14122"/>
    <n v="5"/>
    <x v="2"/>
    <n v="13415.9"/>
    <n v="8588.26"/>
    <n v="4827.6400000000003"/>
    <x v="4"/>
    <n v="5"/>
    <n v="0.35984466193099235"/>
  </r>
  <r>
    <s v="ORD10063"/>
    <d v="2026-05-22T06:22:47"/>
    <s v="C1063"/>
    <s v="Headset"/>
    <s v="Accessories"/>
    <s v="East"/>
    <n v="3"/>
    <n v="2927"/>
    <n v="0"/>
    <x v="2"/>
    <n v="8781"/>
    <n v="5476.22"/>
    <n v="3304.78"/>
    <x v="4"/>
    <n v="5"/>
    <n v="0.37635576813574767"/>
  </r>
  <r>
    <s v="ORD10064"/>
    <d v="2026-05-24T13:03:48"/>
    <s v="C1064"/>
    <s v="Mouse"/>
    <s v="Accessories"/>
    <s v="East"/>
    <n v="3"/>
    <n v="1017"/>
    <n v="15"/>
    <x v="1"/>
    <n v="2593.35"/>
    <n v="1656.86"/>
    <n v="936.49"/>
    <x v="4"/>
    <n v="5"/>
    <n v="0.36111207511519849"/>
  </r>
  <r>
    <s v="ORD10065"/>
    <d v="2026-05-26T19:44:49"/>
    <s v="C1065"/>
    <s v="Mouse"/>
    <s v="Accessories"/>
    <s v="South"/>
    <n v="3"/>
    <n v="1565"/>
    <n v="15"/>
    <x v="2"/>
    <n v="3990.75"/>
    <n v="3019.41"/>
    <n v="971.34"/>
    <x v="4"/>
    <n v="5"/>
    <n v="0.24339785754557414"/>
  </r>
  <r>
    <s v="ORD10066"/>
    <d v="2026-05-29T02:25:49"/>
    <s v="C1066"/>
    <s v="Monitor"/>
    <s v="Electronics"/>
    <s v="South"/>
    <n v="4"/>
    <n v="14369"/>
    <n v="5"/>
    <x v="1"/>
    <n v="54602.2"/>
    <n v="34630.78"/>
    <n v="19971.419999999998"/>
    <x v="4"/>
    <n v="5"/>
    <n v="0.36576218540644884"/>
  </r>
  <r>
    <s v="ORD10067"/>
    <d v="2026-05-31T09:06:50"/>
    <s v="C1067"/>
    <s v="Mouse"/>
    <s v="Accessories"/>
    <s v="West"/>
    <n v="1"/>
    <n v="1322"/>
    <n v="10"/>
    <x v="3"/>
    <n v="1189.8"/>
    <n v="813.58"/>
    <n v="376.22"/>
    <x v="4"/>
    <n v="5"/>
    <n v="0.31620440410152972"/>
  </r>
  <r>
    <s v="ORD10068"/>
    <d v="2026-06-02T15:47:51"/>
    <s v="C1068"/>
    <s v="Mouse"/>
    <s v="Accessories"/>
    <s v="North"/>
    <n v="4"/>
    <n v="1685"/>
    <n v="10"/>
    <x v="1"/>
    <n v="6066"/>
    <n v="4785.92"/>
    <n v="1280.08"/>
    <x v="5"/>
    <n v="6"/>
    <n v="0.21102538740520935"/>
  </r>
  <r>
    <s v="ORD10069"/>
    <d v="2026-06-04T22:28:52"/>
    <s v="C1069"/>
    <s v="Monitor"/>
    <s v="Electronics"/>
    <s v="East"/>
    <n v="3"/>
    <n v="14425"/>
    <n v="10"/>
    <x v="3"/>
    <n v="38947.5"/>
    <n v="24328.73"/>
    <n v="14618.77"/>
    <x v="5"/>
    <n v="6"/>
    <n v="0.3753455292380769"/>
  </r>
  <r>
    <s v="ORD10070"/>
    <d v="2026-06-07T05:09:52"/>
    <s v="C1070"/>
    <s v="Monitor"/>
    <s v="Electronics"/>
    <s v="East"/>
    <n v="1"/>
    <n v="14087"/>
    <n v="15"/>
    <x v="2"/>
    <n v="11973.95"/>
    <n v="9374.33"/>
    <n v="2599.62"/>
    <x v="5"/>
    <n v="6"/>
    <n v="0.21710630159638211"/>
  </r>
  <r>
    <s v="ORD10071"/>
    <d v="2026-06-09T11:50:53"/>
    <s v="C1011"/>
    <s v="Laptop"/>
    <s v="Electronics"/>
    <s v="West"/>
    <n v="4"/>
    <n v="55462"/>
    <n v="15"/>
    <x v="2"/>
    <n v="188570.8"/>
    <n v="127543.81"/>
    <n v="61026.99"/>
    <x v="5"/>
    <n v="6"/>
    <n v="0.32362905603624742"/>
  </r>
  <r>
    <s v="ORD10072"/>
    <d v="2026-06-11T18:31:54"/>
    <s v="C1072"/>
    <s v="Headset"/>
    <s v="Accessories"/>
    <s v="East"/>
    <n v="4"/>
    <n v="3438"/>
    <n v="15"/>
    <x v="3"/>
    <n v="11689.2"/>
    <n v="7523.55"/>
    <n v="4165.6499999999996"/>
    <x v="5"/>
    <n v="6"/>
    <n v="0.35636741607637812"/>
  </r>
  <r>
    <s v="ORD10073"/>
    <d v="2026-06-14T01:12:55"/>
    <s v="C1073"/>
    <s v="Headset"/>
    <s v="Accessories"/>
    <s v="North"/>
    <n v="3"/>
    <n v="2954"/>
    <n v="0"/>
    <x v="0"/>
    <n v="8862"/>
    <n v="6729.34"/>
    <n v="2132.66"/>
    <x v="5"/>
    <n v="6"/>
    <n v="0.24065222297449784"/>
  </r>
  <r>
    <s v="ORD10074"/>
    <d v="2026-06-16T07:53:55"/>
    <s v="C1074"/>
    <s v="Mouse"/>
    <s v="Accessories"/>
    <s v="West"/>
    <n v="1"/>
    <n v="1489"/>
    <n v="5"/>
    <x v="3"/>
    <n v="1414.55"/>
    <n v="1054.96"/>
    <n v="359.59"/>
    <x v="5"/>
    <n v="6"/>
    <n v="0.25420805203068114"/>
  </r>
  <r>
    <s v="ORD10075"/>
    <d v="2026-06-18T14:34:56"/>
    <s v="C1075"/>
    <s v="Headset"/>
    <s v="Accessories"/>
    <s v="North"/>
    <n v="3"/>
    <n v="3185"/>
    <n v="15"/>
    <x v="0"/>
    <n v="8121.75"/>
    <n v="6460.81"/>
    <n v="1660.94"/>
    <x v="5"/>
    <n v="6"/>
    <n v="0.20450518669006065"/>
  </r>
  <r>
    <s v="ORD10076"/>
    <d v="2026-06-20T21:15:57"/>
    <s v="C1076"/>
    <s v="Mouse"/>
    <s v="Accessories"/>
    <s v="West"/>
    <n v="1"/>
    <n v="1103"/>
    <n v="5"/>
    <x v="1"/>
    <n v="1047.8499999999999"/>
    <n v="803.72"/>
    <n v="244.13"/>
    <x v="5"/>
    <n v="6"/>
    <n v="0.23298181991697287"/>
  </r>
  <r>
    <s v="ORD10077"/>
    <d v="2026-06-23T03:56:58"/>
    <s v="C1077"/>
    <s v="Laptop"/>
    <s v="Electronics"/>
    <s v="West"/>
    <n v="5"/>
    <n v="55192"/>
    <n v="5"/>
    <x v="1"/>
    <n v="262162"/>
    <n v="204668.87"/>
    <n v="57493.13"/>
    <x v="5"/>
    <n v="6"/>
    <n v="0.2193038274044293"/>
  </r>
  <r>
    <s v="ORD10078"/>
    <d v="2026-06-25T10:37:58"/>
    <s v="C1078"/>
    <s v="Monitor"/>
    <s v="Electronics"/>
    <s v="South"/>
    <n v="2"/>
    <n v="14045"/>
    <n v="10"/>
    <x v="1"/>
    <n v="25281"/>
    <n v="17100.240000000002"/>
    <n v="8180.76"/>
    <x v="5"/>
    <n v="6"/>
    <n v="0.32359321229381749"/>
  </r>
  <r>
    <s v="ORD10079"/>
    <d v="2026-06-27T17:18:59"/>
    <s v="C1079"/>
    <s v="Monitor"/>
    <s v="Electronics"/>
    <s v="North"/>
    <n v="2"/>
    <n v="13975"/>
    <n v="0"/>
    <x v="2"/>
    <n v="27950"/>
    <n v="18320.89"/>
    <n v="9629.11"/>
    <x v="5"/>
    <n v="6"/>
    <n v="0.34451198568872987"/>
  </r>
  <r>
    <s v="ORD10080"/>
    <d v="2026-06-30T00:00:00"/>
    <s v="C1080"/>
    <s v="Monitor"/>
    <s v="Electronics"/>
    <s v="East"/>
    <n v="2"/>
    <n v="13838"/>
    <n v="15"/>
    <x v="1"/>
    <n v="23524.6"/>
    <n v="18116.830000000002"/>
    <n v="5407.77"/>
    <x v="5"/>
    <n v="6"/>
    <n v="0.229877234894535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x v="0"/>
    <s v="C1001"/>
    <x v="0"/>
    <x v="0"/>
    <x v="0"/>
    <n v="3"/>
    <n v="13962"/>
    <n v="0"/>
    <x v="0"/>
    <n v="41886"/>
    <n v="28238.14"/>
    <n v="13647.86"/>
    <x v="0"/>
    <n v="1"/>
    <n v="0.32583345270496111"/>
  </r>
  <r>
    <s v="ORD10002"/>
    <x v="1"/>
    <s v="C1002"/>
    <x v="1"/>
    <x v="1"/>
    <x v="0"/>
    <n v="1"/>
    <n v="3480"/>
    <n v="5"/>
    <x v="1"/>
    <n v="3306"/>
    <n v="2339.9699999999998"/>
    <n v="966.03"/>
    <x v="0"/>
    <n v="1"/>
    <n v="0.29220508166969145"/>
  </r>
  <r>
    <s v="ORD10003"/>
    <x v="2"/>
    <s v="C1003"/>
    <x v="2"/>
    <x v="1"/>
    <x v="0"/>
    <n v="2"/>
    <n v="2160"/>
    <n v="10"/>
    <x v="0"/>
    <n v="3888"/>
    <n v="2471.5700000000002"/>
    <n v="1416.43"/>
    <x v="0"/>
    <n v="1"/>
    <n v="0.36430812757201647"/>
  </r>
  <r>
    <s v="ORD10004"/>
    <x v="3"/>
    <s v="C1004"/>
    <x v="1"/>
    <x v="1"/>
    <x v="1"/>
    <n v="2"/>
    <n v="3379"/>
    <n v="5"/>
    <x v="0"/>
    <n v="6420.1"/>
    <n v="4013.01"/>
    <n v="2407.09"/>
    <x v="0"/>
    <n v="1"/>
    <n v="0.37493029703587172"/>
  </r>
  <r>
    <s v="ORD10005"/>
    <x v="4"/>
    <s v="C1005"/>
    <x v="1"/>
    <x v="1"/>
    <x v="0"/>
    <n v="4"/>
    <n v="3197"/>
    <n v="10"/>
    <x v="1"/>
    <n v="11509.2"/>
    <n v="9351.57"/>
    <n v="2157.63"/>
    <x v="0"/>
    <n v="1"/>
    <n v="0.18747002398081536"/>
  </r>
  <r>
    <s v="ORD10006"/>
    <x v="5"/>
    <s v="C1006"/>
    <x v="3"/>
    <x v="1"/>
    <x v="0"/>
    <n v="5"/>
    <n v="1276"/>
    <n v="5"/>
    <x v="2"/>
    <n v="6061"/>
    <n v="4771.2"/>
    <n v="1289.8"/>
    <x v="0"/>
    <n v="1"/>
    <n v="0.21280316779409339"/>
  </r>
  <r>
    <s v="ORD10007"/>
    <x v="6"/>
    <s v="C1007"/>
    <x v="2"/>
    <x v="1"/>
    <x v="0"/>
    <n v="1"/>
    <n v="2503"/>
    <n v="0"/>
    <x v="1"/>
    <n v="2503"/>
    <n v="1900.26"/>
    <n v="602.74"/>
    <x v="0"/>
    <n v="1"/>
    <n v="0.24080703156212546"/>
  </r>
  <r>
    <s v="ORD10008"/>
    <x v="7"/>
    <s v="C1008"/>
    <x v="2"/>
    <x v="1"/>
    <x v="2"/>
    <n v="1"/>
    <n v="2391"/>
    <n v="15"/>
    <x v="2"/>
    <n v="2032.35"/>
    <n v="1426.28"/>
    <n v="606.07000000000005"/>
    <x v="0"/>
    <n v="1"/>
    <n v="0.2982114301178439"/>
  </r>
  <r>
    <s v="ORD10009"/>
    <x v="8"/>
    <s v="C1009"/>
    <x v="2"/>
    <x v="1"/>
    <x v="0"/>
    <n v="3"/>
    <n v="2134"/>
    <n v="0"/>
    <x v="1"/>
    <n v="6402"/>
    <n v="4191.13"/>
    <n v="2210.87"/>
    <x v="0"/>
    <n v="1"/>
    <n v="0.34534051858794124"/>
  </r>
  <r>
    <s v="ORD10010"/>
    <x v="9"/>
    <s v="C1010"/>
    <x v="1"/>
    <x v="1"/>
    <x v="3"/>
    <n v="2"/>
    <n v="2994"/>
    <n v="15"/>
    <x v="0"/>
    <n v="5089.8"/>
    <n v="3314.92"/>
    <n v="1774.88"/>
    <x v="0"/>
    <n v="1"/>
    <n v="0.34871311249950881"/>
  </r>
  <r>
    <s v="ORD10011"/>
    <x v="10"/>
    <s v="C1011"/>
    <x v="0"/>
    <x v="0"/>
    <x v="0"/>
    <n v="5"/>
    <n v="14200"/>
    <n v="5"/>
    <x v="0"/>
    <n v="67450"/>
    <n v="45194.78"/>
    <n v="22255.22"/>
    <x v="0"/>
    <n v="1"/>
    <n v="0.329951371386212"/>
  </r>
  <r>
    <s v="ORD10012"/>
    <x v="11"/>
    <s v="C1012"/>
    <x v="2"/>
    <x v="1"/>
    <x v="3"/>
    <n v="4"/>
    <n v="2639"/>
    <n v="10"/>
    <x v="3"/>
    <n v="9500.4"/>
    <n v="6933.82"/>
    <n v="2566.58"/>
    <x v="0"/>
    <n v="1"/>
    <n v="0.27015494084459601"/>
  </r>
  <r>
    <s v="ORD10013"/>
    <x v="12"/>
    <s v="C1013"/>
    <x v="1"/>
    <x v="1"/>
    <x v="3"/>
    <n v="2"/>
    <n v="2832"/>
    <n v="0"/>
    <x v="2"/>
    <n v="5664"/>
    <n v="4321.17"/>
    <n v="1342.83"/>
    <x v="0"/>
    <n v="1"/>
    <n v="0.23708156779661016"/>
  </r>
  <r>
    <s v="ORD10014"/>
    <x v="13"/>
    <s v="C1014"/>
    <x v="3"/>
    <x v="1"/>
    <x v="3"/>
    <n v="4"/>
    <n v="1687"/>
    <n v="15"/>
    <x v="3"/>
    <n v="5735.8"/>
    <n v="4313.55"/>
    <n v="1422.25"/>
    <x v="0"/>
    <n v="1"/>
    <n v="0.24796017992259142"/>
  </r>
  <r>
    <s v="ORD10015"/>
    <x v="14"/>
    <s v="C1015"/>
    <x v="0"/>
    <x v="0"/>
    <x v="2"/>
    <n v="3"/>
    <n v="14259"/>
    <n v="0"/>
    <x v="3"/>
    <n v="42777"/>
    <n v="28916.69"/>
    <n v="13860.31"/>
    <x v="1"/>
    <n v="2"/>
    <n v="0.32401313790120856"/>
  </r>
  <r>
    <s v="ORD10016"/>
    <x v="15"/>
    <s v="C1016"/>
    <x v="3"/>
    <x v="1"/>
    <x v="2"/>
    <n v="3"/>
    <n v="1469"/>
    <n v="15"/>
    <x v="1"/>
    <n v="3745.95"/>
    <n v="3037.86"/>
    <n v="708.09"/>
    <x v="1"/>
    <n v="2"/>
    <n v="0.18902815040243465"/>
  </r>
  <r>
    <s v="ORD10017"/>
    <x v="16"/>
    <s v="C1017"/>
    <x v="0"/>
    <x v="0"/>
    <x v="2"/>
    <n v="1"/>
    <n v="14174"/>
    <n v="0"/>
    <x v="3"/>
    <n v="14174"/>
    <n v="10879.67"/>
    <n v="3294.33"/>
    <x v="1"/>
    <n v="2"/>
    <n v="0.23242062932129251"/>
  </r>
  <r>
    <s v="ORD10018"/>
    <x v="17"/>
    <s v="C1018"/>
    <x v="1"/>
    <x v="1"/>
    <x v="0"/>
    <n v="5"/>
    <n v="2821"/>
    <n v="15"/>
    <x v="1"/>
    <n v="11989.25"/>
    <n v="8762.59"/>
    <n v="3226.66"/>
    <x v="1"/>
    <n v="2"/>
    <n v="0.26912942844631649"/>
  </r>
  <r>
    <s v="ORD10019"/>
    <x v="18"/>
    <s v="C1019"/>
    <x v="4"/>
    <x v="0"/>
    <x v="3"/>
    <n v="4"/>
    <n v="55469"/>
    <n v="15"/>
    <x v="1"/>
    <n v="188594.6"/>
    <n v="140002.1"/>
    <n v="48592.5"/>
    <x v="1"/>
    <n v="2"/>
    <n v="0.25765583956274463"/>
  </r>
  <r>
    <s v="ORD10020"/>
    <x v="19"/>
    <s v="C1020"/>
    <x v="0"/>
    <x v="0"/>
    <x v="2"/>
    <n v="2"/>
    <n v="13837"/>
    <n v="5"/>
    <x v="3"/>
    <n v="26290.3"/>
    <n v="18506.27"/>
    <n v="7784.03"/>
    <x v="1"/>
    <n v="2"/>
    <n v="0.29607992301343083"/>
  </r>
  <r>
    <s v="ORD10021"/>
    <x v="20"/>
    <s v="C1021"/>
    <x v="3"/>
    <x v="1"/>
    <x v="2"/>
    <n v="3"/>
    <n v="1229"/>
    <n v="15"/>
    <x v="2"/>
    <n v="3133.95"/>
    <n v="2098.3200000000002"/>
    <n v="1035.6300000000001"/>
    <x v="1"/>
    <n v="2"/>
    <n v="0.33045517637486244"/>
  </r>
  <r>
    <s v="ORD10022"/>
    <x v="21"/>
    <s v="C1022"/>
    <x v="1"/>
    <x v="1"/>
    <x v="0"/>
    <n v="1"/>
    <n v="3164"/>
    <n v="5"/>
    <x v="2"/>
    <n v="3005.8"/>
    <n v="2077.59"/>
    <n v="928.21"/>
    <x v="1"/>
    <n v="2"/>
    <n v="0.30880630780491047"/>
  </r>
  <r>
    <s v="ORD10023"/>
    <x v="22"/>
    <s v="C1023"/>
    <x v="3"/>
    <x v="0"/>
    <x v="2"/>
    <n v="1"/>
    <n v="14362"/>
    <n v="15"/>
    <x v="2"/>
    <n v="12207.7"/>
    <n v="9419.09"/>
    <n v="2788.61"/>
    <x v="1"/>
    <n v="2"/>
    <n v="0.2284304168680423"/>
  </r>
  <r>
    <s v="ORD10024"/>
    <x v="23"/>
    <s v="C1024"/>
    <x v="4"/>
    <x v="0"/>
    <x v="0"/>
    <n v="4"/>
    <n v="55237"/>
    <n v="10"/>
    <x v="2"/>
    <n v="198853.2"/>
    <n v="123861.42"/>
    <n v="74991.78"/>
    <x v="1"/>
    <n v="2"/>
    <n v="0.37712131361225265"/>
  </r>
  <r>
    <s v="ORD10025"/>
    <x v="24"/>
    <s v="C1025"/>
    <x v="4"/>
    <x v="0"/>
    <x v="1"/>
    <n v="3"/>
    <n v="55082"/>
    <n v="10"/>
    <x v="2"/>
    <n v="148721.4"/>
    <n v="95659.77"/>
    <n v="53061.63"/>
    <x v="1"/>
    <n v="2"/>
    <n v="0.3567854390827413"/>
  </r>
  <r>
    <s v="ORD10026"/>
    <x v="25"/>
    <s v="C1026"/>
    <x v="2"/>
    <x v="1"/>
    <x v="2"/>
    <n v="5"/>
    <n v="2026"/>
    <n v="10"/>
    <x v="3"/>
    <n v="9117"/>
    <n v="5736.42"/>
    <n v="3380.58"/>
    <x v="1"/>
    <n v="2"/>
    <n v="0.37079960513326754"/>
  </r>
  <r>
    <s v="ORD10027"/>
    <x v="26"/>
    <s v="C1027"/>
    <x v="2"/>
    <x v="1"/>
    <x v="1"/>
    <n v="3"/>
    <n v="2225"/>
    <n v="15"/>
    <x v="3"/>
    <n v="5673.75"/>
    <n v="3563.94"/>
    <n v="2109.81"/>
    <x v="2"/>
    <n v="3"/>
    <n v="0.37185459352280237"/>
  </r>
  <r>
    <s v="ORD10028"/>
    <x v="27"/>
    <s v="C1028"/>
    <x v="3"/>
    <x v="1"/>
    <x v="0"/>
    <n v="4"/>
    <n v="1276"/>
    <n v="5"/>
    <x v="0"/>
    <n v="4848.8"/>
    <n v="3835.85"/>
    <n v="1012.95"/>
    <x v="2"/>
    <n v="3"/>
    <n v="0.20890735852169609"/>
  </r>
  <r>
    <s v="ORD10029"/>
    <x v="28"/>
    <s v="C1029"/>
    <x v="0"/>
    <x v="0"/>
    <x v="3"/>
    <n v="4"/>
    <n v="14408"/>
    <n v="5"/>
    <x v="2"/>
    <n v="54750.400000000001"/>
    <n v="41650.36"/>
    <n v="13100.04"/>
    <x v="2"/>
    <n v="3"/>
    <n v="0.23926838890674773"/>
  </r>
  <r>
    <s v="ORD10030"/>
    <x v="29"/>
    <s v="C1030"/>
    <x v="0"/>
    <x v="0"/>
    <x v="2"/>
    <n v="3"/>
    <n v="14083"/>
    <n v="15"/>
    <x v="3"/>
    <n v="35911.65"/>
    <n v="25670.9"/>
    <n v="10240.75"/>
    <x v="2"/>
    <n v="3"/>
    <n v="0.28516512051103193"/>
  </r>
  <r>
    <s v="ORD10031"/>
    <x v="30"/>
    <s v="C1031"/>
    <x v="2"/>
    <x v="1"/>
    <x v="0"/>
    <n v="4"/>
    <n v="2480"/>
    <n v="10"/>
    <x v="0"/>
    <n v="8928"/>
    <n v="5710.05"/>
    <n v="3217.95"/>
    <x v="2"/>
    <n v="3"/>
    <n v="0.36043346774193546"/>
  </r>
  <r>
    <s v="ORD10032"/>
    <x v="31"/>
    <s v="C1032"/>
    <x v="0"/>
    <x v="0"/>
    <x v="3"/>
    <n v="3"/>
    <n v="14252"/>
    <n v="0"/>
    <x v="2"/>
    <n v="38480.400000000001"/>
    <n v="27641.360000000001"/>
    <n v="10839.04"/>
    <x v="2"/>
    <n v="3"/>
    <n v="0.28167690564547149"/>
  </r>
  <r>
    <s v="ORD10033"/>
    <x v="32"/>
    <s v="C1033"/>
    <x v="0"/>
    <x v="0"/>
    <x v="3"/>
    <n v="2"/>
    <n v="14458"/>
    <n v="5"/>
    <x v="1"/>
    <n v="27470.2"/>
    <n v="19632.8"/>
    <n v="7837.4"/>
    <x v="2"/>
    <n v="3"/>
    <n v="0.28530553108459344"/>
  </r>
  <r>
    <s v="ORD10034"/>
    <x v="33"/>
    <s v="C1034"/>
    <x v="4"/>
    <x v="0"/>
    <x v="1"/>
    <n v="3"/>
    <n v="55315"/>
    <n v="10"/>
    <x v="0"/>
    <n v="149350.5"/>
    <n v="97770.87"/>
    <n v="51579.63"/>
    <x v="2"/>
    <n v="3"/>
    <n v="0.34535960709873753"/>
  </r>
  <r>
    <s v="ORD10035"/>
    <x v="34"/>
    <s v="C1035"/>
    <x v="2"/>
    <x v="1"/>
    <x v="0"/>
    <n v="3"/>
    <n v="2546"/>
    <n v="0"/>
    <x v="3"/>
    <n v="7638"/>
    <n v="5398.31"/>
    <n v="2239.69"/>
    <x v="2"/>
    <n v="3"/>
    <n v="0.29322990311599895"/>
  </r>
  <r>
    <s v="ORD10036"/>
    <x v="35"/>
    <s v="C1036"/>
    <x v="1"/>
    <x v="1"/>
    <x v="3"/>
    <n v="4"/>
    <n v="2991"/>
    <n v="5"/>
    <x v="1"/>
    <n v="11365.8"/>
    <n v="7952.66"/>
    <n v="3413.14"/>
    <x v="2"/>
    <n v="3"/>
    <n v="0.30029914304316457"/>
  </r>
  <r>
    <s v="ORD10037"/>
    <x v="36"/>
    <s v="C1037"/>
    <x v="2"/>
    <x v="1"/>
    <x v="2"/>
    <n v="4"/>
    <n v="2048"/>
    <n v="10"/>
    <x v="1"/>
    <n v="7372.8"/>
    <n v="5479.24"/>
    <n v="1893.56"/>
    <x v="2"/>
    <n v="3"/>
    <n v="0.25683051215277775"/>
  </r>
  <r>
    <s v="ORD10038"/>
    <x v="37"/>
    <s v="C1038"/>
    <x v="1"/>
    <x v="1"/>
    <x v="2"/>
    <n v="1"/>
    <n v="3311"/>
    <n v="5"/>
    <x v="1"/>
    <n v="3145.45"/>
    <n v="2349.71"/>
    <n v="795.74"/>
    <x v="2"/>
    <n v="3"/>
    <n v="0.2529812904353908"/>
  </r>
  <r>
    <s v="ORD10039"/>
    <x v="38"/>
    <s v="C1039"/>
    <x v="4"/>
    <x v="0"/>
    <x v="1"/>
    <n v="1"/>
    <n v="54816"/>
    <n v="0"/>
    <x v="0"/>
    <n v="54816"/>
    <n v="34482.6"/>
    <n v="20333.400000000001"/>
    <x v="2"/>
    <n v="3"/>
    <n v="0.37093914185639232"/>
  </r>
  <r>
    <s v="ORD10040"/>
    <x v="39"/>
    <s v="C1040"/>
    <x v="3"/>
    <x v="1"/>
    <x v="3"/>
    <n v="2"/>
    <n v="1171"/>
    <n v="5"/>
    <x v="3"/>
    <n v="2224.9"/>
    <n v="1546.13"/>
    <n v="678.77"/>
    <x v="2"/>
    <n v="3"/>
    <n v="0.30507887994966065"/>
  </r>
  <r>
    <s v="ORD10041"/>
    <x v="40"/>
    <s v="C1041"/>
    <x v="0"/>
    <x v="0"/>
    <x v="0"/>
    <n v="1"/>
    <n v="14019"/>
    <n v="5"/>
    <x v="1"/>
    <n v="13318.05"/>
    <n v="9924.24"/>
    <n v="3393.81"/>
    <x v="3"/>
    <n v="4"/>
    <n v="0.25482784641895773"/>
  </r>
  <r>
    <s v="ORD10042"/>
    <x v="41"/>
    <s v="C1042"/>
    <x v="4"/>
    <x v="0"/>
    <x v="2"/>
    <n v="3"/>
    <n v="54957"/>
    <n v="5"/>
    <x v="2"/>
    <n v="156627.45000000001"/>
    <n v="112870.01"/>
    <n v="43757.440000000002"/>
    <x v="3"/>
    <n v="4"/>
    <n v="0.27937274085736569"/>
  </r>
  <r>
    <s v="ORD10043"/>
    <x v="42"/>
    <s v="C1043"/>
    <x v="0"/>
    <x v="0"/>
    <x v="3"/>
    <n v="4"/>
    <n v="14276"/>
    <n v="5"/>
    <x v="1"/>
    <n v="54248.800000000003"/>
    <n v="42926.97"/>
    <n v="11321.83"/>
    <x v="3"/>
    <n v="4"/>
    <n v="0.20870194363746294"/>
  </r>
  <r>
    <s v="ORD10044"/>
    <x v="43"/>
    <s v="C1044"/>
    <x v="3"/>
    <x v="1"/>
    <x v="3"/>
    <n v="1"/>
    <n v="1045"/>
    <n v="0"/>
    <x v="1"/>
    <n v="1045"/>
    <n v="785.57"/>
    <n v="259.43"/>
    <x v="3"/>
    <n v="4"/>
    <n v="0.24825837320574162"/>
  </r>
  <r>
    <s v="ORD10045"/>
    <x v="44"/>
    <s v="C1045"/>
    <x v="3"/>
    <x v="1"/>
    <x v="4"/>
    <n v="1"/>
    <n v="1372"/>
    <n v="15"/>
    <x v="0"/>
    <n v="1166.2"/>
    <n v="761.05"/>
    <n v="405.15"/>
    <x v="3"/>
    <n v="4"/>
    <n v="0.34741039272851992"/>
  </r>
  <r>
    <s v="ORD10046"/>
    <x v="45"/>
    <s v="C1046"/>
    <x v="4"/>
    <x v="0"/>
    <x v="2"/>
    <n v="2"/>
    <n v="55317"/>
    <n v="5"/>
    <x v="0"/>
    <n v="105102.3"/>
    <n v="66646.81"/>
    <n v="38455.49"/>
    <x v="3"/>
    <n v="4"/>
    <n v="0.36588628412508573"/>
  </r>
  <r>
    <s v="ORD10047"/>
    <x v="46"/>
    <s v="C1047"/>
    <x v="3"/>
    <x v="1"/>
    <x v="2"/>
    <n v="2"/>
    <n v="1098"/>
    <n v="5"/>
    <x v="3"/>
    <n v="2086.1999999999998"/>
    <n v="1561.49"/>
    <n v="524.71"/>
    <x v="3"/>
    <n v="4"/>
    <n v="0.25151471575112649"/>
  </r>
  <r>
    <s v="ORD10048"/>
    <x v="47"/>
    <s v="C1048"/>
    <x v="1"/>
    <x v="1"/>
    <x v="0"/>
    <n v="3"/>
    <n v="2836"/>
    <n v="10"/>
    <x v="2"/>
    <n v="7657.2"/>
    <n v="4788.0600000000004"/>
    <n v="2869.14"/>
    <x v="3"/>
    <n v="4"/>
    <n v="0.3746983231468422"/>
  </r>
  <r>
    <s v="ORD10049"/>
    <x v="48"/>
    <s v="C1049"/>
    <x v="3"/>
    <x v="1"/>
    <x v="2"/>
    <n v="4"/>
    <n v="1279"/>
    <n v="5"/>
    <x v="0"/>
    <n v="4860.2"/>
    <n v="3582.72"/>
    <n v="1277.48"/>
    <x v="3"/>
    <n v="4"/>
    <n v="0.26284515040533313"/>
  </r>
  <r>
    <s v="ORD10050"/>
    <x v="49"/>
    <s v="C1050"/>
    <x v="0"/>
    <x v="0"/>
    <x v="0"/>
    <n v="2"/>
    <n v="14148"/>
    <n v="10"/>
    <x v="1"/>
    <n v="25466.400000000001"/>
    <n v="20578.02"/>
    <n v="4888.38"/>
    <x v="3"/>
    <n v="4"/>
    <n v="0.19195410423145792"/>
  </r>
  <r>
    <s v="ORD10051"/>
    <x v="50"/>
    <s v="C1051"/>
    <x v="0"/>
    <x v="0"/>
    <x v="2"/>
    <n v="1"/>
    <n v="14296"/>
    <n v="15"/>
    <x v="3"/>
    <n v="12151.6"/>
    <n v="8932.58"/>
    <n v="3219.02"/>
    <x v="3"/>
    <n v="4"/>
    <n v="0.26490503308206326"/>
  </r>
  <r>
    <s v="ORD10052"/>
    <x v="51"/>
    <s v="C1052"/>
    <x v="0"/>
    <x v="0"/>
    <x v="1"/>
    <n v="4"/>
    <n v="14101"/>
    <n v="0"/>
    <x v="1"/>
    <n v="56404"/>
    <n v="39349.35"/>
    <n v="17054.650000000001"/>
    <x v="3"/>
    <n v="4"/>
    <n v="0.30236596695269841"/>
  </r>
  <r>
    <s v="ORD10053"/>
    <x v="52"/>
    <s v="C1053"/>
    <x v="0"/>
    <x v="0"/>
    <x v="2"/>
    <n v="4"/>
    <n v="13980"/>
    <n v="0"/>
    <x v="1"/>
    <n v="55920"/>
    <n v="41864.94"/>
    <n v="14055.06"/>
    <x v="3"/>
    <n v="4"/>
    <n v="0.2513422746781116"/>
  </r>
  <r>
    <s v="ORD10054"/>
    <x v="53"/>
    <s v="C1054"/>
    <x v="1"/>
    <x v="1"/>
    <x v="0"/>
    <n v="1"/>
    <n v="3406"/>
    <n v="15"/>
    <x v="0"/>
    <n v="2895.1"/>
    <n v="2060.3000000000002"/>
    <n v="834.8"/>
    <x v="4"/>
    <n v="5"/>
    <n v="0.28834927981762287"/>
  </r>
  <r>
    <s v="ORD10055"/>
    <x v="54"/>
    <s v="C1055"/>
    <x v="2"/>
    <x v="1"/>
    <x v="0"/>
    <n v="2"/>
    <n v="2098"/>
    <n v="0"/>
    <x v="3"/>
    <n v="4196"/>
    <n v="3059.4"/>
    <n v="1136.5999999999999"/>
    <x v="4"/>
    <n v="5"/>
    <n v="0.27087702573879885"/>
  </r>
  <r>
    <s v="ORD10056"/>
    <x v="55"/>
    <s v="C1056"/>
    <x v="4"/>
    <x v="0"/>
    <x v="1"/>
    <n v="1"/>
    <n v="55499"/>
    <n v="15"/>
    <x v="3"/>
    <n v="47174.15"/>
    <n v="38130.53"/>
    <n v="9043.6200000000008"/>
    <x v="4"/>
    <n v="5"/>
    <n v="0.19170711077995048"/>
  </r>
  <r>
    <s v="ORD10057"/>
    <x v="56"/>
    <s v="C1057"/>
    <x v="0"/>
    <x v="0"/>
    <x v="2"/>
    <n v="4"/>
    <n v="13915"/>
    <n v="15"/>
    <x v="2"/>
    <n v="47311"/>
    <n v="32986.199999999997"/>
    <n v="14324.8"/>
    <x v="4"/>
    <n v="5"/>
    <n v="0.30277948045908981"/>
  </r>
  <r>
    <s v="ORD10058"/>
    <x v="57"/>
    <s v="C1058"/>
    <x v="3"/>
    <x v="1"/>
    <x v="2"/>
    <n v="5"/>
    <n v="1190"/>
    <n v="15"/>
    <x v="0"/>
    <n v="5057.5"/>
    <n v="4107.8900000000003"/>
    <n v="949.61"/>
    <x v="4"/>
    <n v="5"/>
    <n v="0.1877627286208601"/>
  </r>
  <r>
    <s v="ORD10059"/>
    <x v="58"/>
    <s v="C1059"/>
    <x v="0"/>
    <x v="0"/>
    <x v="1"/>
    <n v="5"/>
    <n v="14052"/>
    <n v="0"/>
    <x v="0"/>
    <n v="70260"/>
    <n v="56283.19"/>
    <n v="13976.81"/>
    <x v="4"/>
    <n v="5"/>
    <n v="0.19892983205237688"/>
  </r>
  <r>
    <s v="ORD10060"/>
    <x v="59"/>
    <s v="C1060"/>
    <x v="3"/>
    <x v="1"/>
    <x v="2"/>
    <n v="3"/>
    <n v="1160"/>
    <n v="10"/>
    <x v="3"/>
    <n v="3132"/>
    <n v="2064.48"/>
    <n v="1067.52"/>
    <x v="4"/>
    <n v="5"/>
    <n v="0.34084291187739463"/>
  </r>
  <r>
    <s v="ORD10061"/>
    <x v="60"/>
    <s v="C1061"/>
    <x v="3"/>
    <x v="1"/>
    <x v="2"/>
    <n v="1"/>
    <n v="1255"/>
    <n v="15"/>
    <x v="2"/>
    <n v="1066.75"/>
    <n v="676.18"/>
    <n v="390.57"/>
    <x v="4"/>
    <n v="5"/>
    <n v="0.36613077103351299"/>
  </r>
  <r>
    <s v="ORD10062"/>
    <x v="61"/>
    <s v="C1062"/>
    <x v="0"/>
    <x v="0"/>
    <x v="0"/>
    <n v="1"/>
    <n v="14122"/>
    <n v="5"/>
    <x v="2"/>
    <n v="13415.9"/>
    <n v="8588.26"/>
    <n v="4827.6400000000003"/>
    <x v="4"/>
    <n v="5"/>
    <n v="0.35984466193099235"/>
  </r>
  <r>
    <s v="ORD10063"/>
    <x v="62"/>
    <s v="C1063"/>
    <x v="1"/>
    <x v="1"/>
    <x v="2"/>
    <n v="3"/>
    <n v="2927"/>
    <n v="0"/>
    <x v="2"/>
    <n v="8781"/>
    <n v="5476.22"/>
    <n v="3304.78"/>
    <x v="4"/>
    <n v="5"/>
    <n v="0.37635576813574767"/>
  </r>
  <r>
    <s v="ORD10064"/>
    <x v="63"/>
    <s v="C1064"/>
    <x v="3"/>
    <x v="1"/>
    <x v="2"/>
    <n v="3"/>
    <n v="1017"/>
    <n v="15"/>
    <x v="1"/>
    <n v="2593.35"/>
    <n v="1656.86"/>
    <n v="936.49"/>
    <x v="4"/>
    <n v="5"/>
    <n v="0.36111207511519849"/>
  </r>
  <r>
    <s v="ORD10065"/>
    <x v="64"/>
    <s v="C1065"/>
    <x v="3"/>
    <x v="1"/>
    <x v="1"/>
    <n v="3"/>
    <n v="1565"/>
    <n v="15"/>
    <x v="2"/>
    <n v="3990.75"/>
    <n v="3019.41"/>
    <n v="971.34"/>
    <x v="4"/>
    <n v="5"/>
    <n v="0.24339785754557414"/>
  </r>
  <r>
    <s v="ORD10066"/>
    <x v="65"/>
    <s v="C1066"/>
    <x v="0"/>
    <x v="0"/>
    <x v="1"/>
    <n v="4"/>
    <n v="14369"/>
    <n v="5"/>
    <x v="1"/>
    <n v="54602.2"/>
    <n v="34630.78"/>
    <n v="19971.419999999998"/>
    <x v="4"/>
    <n v="5"/>
    <n v="0.36576218540644884"/>
  </r>
  <r>
    <s v="ORD10067"/>
    <x v="66"/>
    <s v="C1067"/>
    <x v="3"/>
    <x v="1"/>
    <x v="3"/>
    <n v="1"/>
    <n v="1322"/>
    <n v="10"/>
    <x v="3"/>
    <n v="1189.8"/>
    <n v="813.58"/>
    <n v="376.22"/>
    <x v="4"/>
    <n v="5"/>
    <n v="0.31620440410152972"/>
  </r>
  <r>
    <s v="ORD10068"/>
    <x v="67"/>
    <s v="C1068"/>
    <x v="3"/>
    <x v="1"/>
    <x v="0"/>
    <n v="4"/>
    <n v="1685"/>
    <n v="10"/>
    <x v="1"/>
    <n v="6066"/>
    <n v="4785.92"/>
    <n v="1280.08"/>
    <x v="5"/>
    <n v="6"/>
    <n v="0.21102538740520935"/>
  </r>
  <r>
    <s v="ORD10069"/>
    <x v="68"/>
    <s v="C1069"/>
    <x v="0"/>
    <x v="0"/>
    <x v="2"/>
    <n v="3"/>
    <n v="14425"/>
    <n v="10"/>
    <x v="3"/>
    <n v="38947.5"/>
    <n v="24328.73"/>
    <n v="14618.77"/>
    <x v="5"/>
    <n v="6"/>
    <n v="0.3753455292380769"/>
  </r>
  <r>
    <s v="ORD10070"/>
    <x v="69"/>
    <s v="C1070"/>
    <x v="0"/>
    <x v="0"/>
    <x v="2"/>
    <n v="1"/>
    <n v="14087"/>
    <n v="15"/>
    <x v="2"/>
    <n v="11973.95"/>
    <n v="9374.33"/>
    <n v="2599.62"/>
    <x v="5"/>
    <n v="6"/>
    <n v="0.21710630159638211"/>
  </r>
  <r>
    <s v="ORD10071"/>
    <x v="70"/>
    <s v="C1011"/>
    <x v="4"/>
    <x v="0"/>
    <x v="3"/>
    <n v="4"/>
    <n v="55462"/>
    <n v="15"/>
    <x v="2"/>
    <n v="188570.8"/>
    <n v="127543.81"/>
    <n v="61026.99"/>
    <x v="5"/>
    <n v="6"/>
    <n v="0.32362905603624742"/>
  </r>
  <r>
    <s v="ORD10072"/>
    <x v="71"/>
    <s v="C1072"/>
    <x v="1"/>
    <x v="1"/>
    <x v="2"/>
    <n v="4"/>
    <n v="3438"/>
    <n v="15"/>
    <x v="3"/>
    <n v="11689.2"/>
    <n v="7523.55"/>
    <n v="4165.6499999999996"/>
    <x v="5"/>
    <n v="6"/>
    <n v="0.35636741607637812"/>
  </r>
  <r>
    <s v="ORD10073"/>
    <x v="72"/>
    <s v="C1073"/>
    <x v="1"/>
    <x v="1"/>
    <x v="0"/>
    <n v="3"/>
    <n v="2954"/>
    <n v="0"/>
    <x v="0"/>
    <n v="8862"/>
    <n v="6729.34"/>
    <n v="2132.66"/>
    <x v="5"/>
    <n v="6"/>
    <n v="0.24065222297449784"/>
  </r>
  <r>
    <s v="ORD10074"/>
    <x v="73"/>
    <s v="C1074"/>
    <x v="3"/>
    <x v="1"/>
    <x v="3"/>
    <n v="1"/>
    <n v="1489"/>
    <n v="5"/>
    <x v="3"/>
    <n v="1414.55"/>
    <n v="1054.96"/>
    <n v="359.59"/>
    <x v="5"/>
    <n v="6"/>
    <n v="0.25420805203068114"/>
  </r>
  <r>
    <s v="ORD10075"/>
    <x v="74"/>
    <s v="C1075"/>
    <x v="1"/>
    <x v="1"/>
    <x v="0"/>
    <n v="3"/>
    <n v="3185"/>
    <n v="15"/>
    <x v="0"/>
    <n v="8121.75"/>
    <n v="6460.81"/>
    <n v="1660.94"/>
    <x v="5"/>
    <n v="6"/>
    <n v="0.20450518669006065"/>
  </r>
  <r>
    <s v="ORD10076"/>
    <x v="75"/>
    <s v="C1076"/>
    <x v="3"/>
    <x v="1"/>
    <x v="3"/>
    <n v="1"/>
    <n v="1103"/>
    <n v="5"/>
    <x v="1"/>
    <n v="1047.8499999999999"/>
    <n v="803.72"/>
    <n v="244.13"/>
    <x v="5"/>
    <n v="6"/>
    <n v="0.23298181991697287"/>
  </r>
  <r>
    <s v="ORD10077"/>
    <x v="76"/>
    <s v="C1077"/>
    <x v="4"/>
    <x v="0"/>
    <x v="3"/>
    <n v="5"/>
    <n v="55192"/>
    <n v="5"/>
    <x v="1"/>
    <n v="262162"/>
    <n v="204668.87"/>
    <n v="57493.13"/>
    <x v="5"/>
    <n v="6"/>
    <n v="0.2193038274044293"/>
  </r>
  <r>
    <s v="ORD10078"/>
    <x v="77"/>
    <s v="C1078"/>
    <x v="0"/>
    <x v="0"/>
    <x v="1"/>
    <n v="2"/>
    <n v="14045"/>
    <n v="10"/>
    <x v="1"/>
    <n v="25281"/>
    <n v="17100.240000000002"/>
    <n v="8180.76"/>
    <x v="5"/>
    <n v="6"/>
    <n v="0.32359321229381749"/>
  </r>
  <r>
    <s v="ORD10079"/>
    <x v="78"/>
    <s v="C1079"/>
    <x v="0"/>
    <x v="0"/>
    <x v="0"/>
    <n v="2"/>
    <n v="13975"/>
    <n v="0"/>
    <x v="2"/>
    <n v="27950"/>
    <n v="18320.89"/>
    <n v="9629.11"/>
    <x v="5"/>
    <n v="6"/>
    <n v="0.34451198568872987"/>
  </r>
  <r>
    <s v="ORD10080"/>
    <x v="79"/>
    <s v="C1080"/>
    <x v="0"/>
    <x v="0"/>
    <x v="2"/>
    <n v="2"/>
    <n v="13838"/>
    <n v="15"/>
    <x v="1"/>
    <n v="23524.6"/>
    <n v="18116.830000000002"/>
    <n v="5407.77"/>
    <x v="5"/>
    <n v="6"/>
    <n v="0.22987723489453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250FAA-A795-4AF3-8CDB-1E087E449C53}"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dataField="1" showAll="0"/>
    <pivotField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ost" fld="11"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CEAE7E-6B8C-43F3-9547-731954ECB01D}"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dataField="1"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88BC0-7300-42A9-B87C-BA90F9E05734}"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dataField="1"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DB8685-4108-4BB4-A43D-DBDBC248F25B}"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dataField="1" showAll="0"/>
    <pivotField showAll="0"/>
    <pivotField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DC313F-D17F-4DE4-878D-FF300C683D3C}"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dataField="1"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iscount_%" fld="8"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0EB19F-65B9-4807-A375-DB4DAD52494F}"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dataField="1"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ofit_Margin_%" fld="1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8F5460-BC9D-4373-BF55-43B78C1D6536}" name="PivotTable1"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9:A10" firstHeaderRow="1" firstDataRow="1" firstDataCol="0"/>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dataField="1"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10"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Quantity" fld="6"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8C829E-8F36-4709-8DF7-F6358A4DDA7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E9" firstHeaderRow="1" firstDataRow="1" firstDataCol="1"/>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m="1" x="4"/>
        <item x="0"/>
        <item x="2"/>
        <item x="1"/>
        <item t="default"/>
      </items>
    </pivotField>
    <pivotField dataField="1" showAll="0"/>
    <pivotField showAll="0"/>
    <pivotField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4"/>
    </i>
    <i>
      <x/>
    </i>
    <i>
      <x v="2"/>
    </i>
    <i>
      <x v="1"/>
    </i>
    <i>
      <x v="3"/>
    </i>
    <i t="grand">
      <x/>
    </i>
  </rowItems>
  <colItems count="1">
    <i/>
  </colItems>
  <dataFields count="1">
    <dataField name="Sum of Sales" fld="10" baseField="0" baseItem="0" numFmtId="1"/>
  </dataFields>
  <formats count="1">
    <format dxfId="0">
      <pivotArea outline="0" collapsedLevelsAreSubtotals="1" fieldPosition="0"/>
    </format>
  </format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 chart="8" format="9">
      <pivotArea type="data" outline="0" fieldPosition="0">
        <references count="2">
          <reference field="4294967294" count="1" selected="0">
            <x v="0"/>
          </reference>
          <reference field="5" count="1" selected="0">
            <x v="1"/>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 chart="8" format="11">
      <pivotArea type="data" outline="0" fieldPosition="0">
        <references count="2">
          <reference field="4294967294" count="1" selected="0">
            <x v="0"/>
          </reference>
          <reference field="5" count="1" selected="0">
            <x v="3"/>
          </reference>
        </references>
      </pivotArea>
    </chartFormat>
    <chartFormat chart="8"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E5A2FB-BD75-49B1-A22F-6A8A7223E6D1}" name="PivotTable10"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J3:K8" firstHeaderRow="1" firstDataRow="1" firstDataCol="1"/>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axis="axisRow" showAll="0" sortType="ascending">
      <items count="6">
        <item x="3"/>
        <item m="1" x="4"/>
        <item x="0"/>
        <item x="2"/>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2"/>
    </i>
    <i>
      <x v="4"/>
    </i>
    <i>
      <x v="3"/>
    </i>
    <i t="grand">
      <x/>
    </i>
  </rowItems>
  <colItems count="1">
    <i/>
  </colItems>
  <dataFields count="1">
    <dataField name="Sum of Sales" fld="10" baseField="0" baseItem="0" numFmtId="1"/>
  </dataFields>
  <formats count="1">
    <format dxfId="1">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9899ED-DDDD-472A-B01E-BD0EA74B457B}"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B114" firstHeaderRow="1" firstDataRow="1" firstDataCol="1"/>
  <pivotFields count="18">
    <pivotField showAll="0"/>
    <pivotField axis="axisRow"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D2859D-23BF-4EE6-BDD1-CB52B85222A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m="1" x="4"/>
        <item x="0"/>
        <item x="2"/>
        <item x="1"/>
        <item t="default"/>
      </items>
    </pivotField>
    <pivotField showAll="0"/>
    <pivotField showAll="0"/>
    <pivotField dataField="1"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4"/>
    </i>
    <i>
      <x v="2"/>
    </i>
    <i>
      <x/>
    </i>
    <i>
      <x v="1"/>
    </i>
    <i>
      <x v="3"/>
    </i>
    <i t="grand">
      <x/>
    </i>
  </rowItems>
  <colItems count="1">
    <i/>
  </colItems>
  <dataFields count="1">
    <dataField name="Sum of Profit" fld="12" baseField="0" baseItem="0" numFmtId="1"/>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BD4E27-F633-43F1-9E54-5099FD0FDCE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2:I17" firstHeaderRow="0" firstDataRow="1" firstDataCol="1"/>
  <pivotFields count="16">
    <pivotField dataField="1" showAll="0"/>
    <pivotField numFmtId="14" showAll="0"/>
    <pivotField showAll="0"/>
    <pivotField showAll="0"/>
    <pivotField showAll="0"/>
    <pivotField showAll="0"/>
    <pivotField showAll="0"/>
    <pivotField showAll="0"/>
    <pivotField showAll="0"/>
    <pivotField axis="axisRow" showAll="0">
      <items count="5">
        <item sd="0" x="3"/>
        <item sd="0" x="0"/>
        <item sd="0" x="2"/>
        <item sd="0" x="1"/>
        <item t="default" sd="0"/>
      </items>
    </pivotField>
    <pivotField dataField="1" showAll="0"/>
    <pivotField showAll="0"/>
    <pivotField showAll="0"/>
    <pivotField showAll="0"/>
    <pivotField showAll="0"/>
    <pivotField dataField="1" numFmtId="10" showAll="0"/>
  </pivotFields>
  <rowFields count="1">
    <field x="9"/>
  </rowFields>
  <rowItems count="5">
    <i>
      <x/>
    </i>
    <i>
      <x v="1"/>
    </i>
    <i>
      <x v="2"/>
    </i>
    <i>
      <x v="3"/>
    </i>
    <i t="grand">
      <x/>
    </i>
  </rowItems>
  <colFields count="1">
    <field x="-2"/>
  </colFields>
  <colItems count="3">
    <i>
      <x/>
    </i>
    <i i="1">
      <x v="1"/>
    </i>
    <i i="2">
      <x v="2"/>
    </i>
  </colItems>
  <dataFields count="3">
    <dataField name="Average of Profit_Margin_%" fld="15" subtotal="average" baseField="0" baseItem="0" numFmtId="10"/>
    <dataField name="Sum of Sales" fld="10" baseField="0" baseItem="0"/>
    <dataField name="Count of Order_ID" fld="0" subtotal="count" baseField="0" baseItem="0"/>
  </dataFields>
  <chartFormats count="3">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BF7517-1414-475D-8047-14F4776AFA06}"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21:K24" firstHeaderRow="0" firstDataRow="1" firstDataCol="1"/>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axis="axisRow"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dataField="1" showAll="0"/>
    <pivotField showAll="0"/>
    <pivotField dataField="1"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Fields count="1">
    <field x="-2"/>
  </colFields>
  <colItems count="2">
    <i>
      <x/>
    </i>
    <i i="1">
      <x v="1"/>
    </i>
  </colItems>
  <dataFields count="2">
    <dataField name="Sum of Sales" fld="10" baseField="0" baseItem="0"/>
    <dataField name="Sum of Profit" fld="12" baseField="0" baseItem="0"/>
  </dataFields>
  <formats count="1">
    <format dxfId="3">
      <pivotArea outline="0" collapsedLevelsAreSubtotals="1" fieldPosition="0"/>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02B6B7-F98A-45C5-8925-F5E6C9EDE8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D18" firstHeaderRow="0" firstDataRow="1" firstDataCol="1"/>
  <pivotFields count="16">
    <pivotField dataField="1" showAll="0"/>
    <pivotField numFmtId="14" showAll="0"/>
    <pivotField showAll="0"/>
    <pivotField showAll="0"/>
    <pivotField showAll="0"/>
    <pivotField axis="axisRow" showAll="0">
      <items count="6">
        <item sd="0" x="2"/>
        <item sd="0" x="0"/>
        <item sd="0" x="1"/>
        <item sd="0" x="4"/>
        <item sd="0" x="3"/>
        <item t="default" sd="0"/>
      </items>
    </pivotField>
    <pivotField showAll="0"/>
    <pivotField showAll="0"/>
    <pivotField showAll="0"/>
    <pivotField showAll="0"/>
    <pivotField dataField="1" showAll="0"/>
    <pivotField dataField="1" showAll="0"/>
    <pivotField showAll="0"/>
    <pivotField showAll="0"/>
    <pivotField showAll="0"/>
    <pivotField numFmtId="10" showAll="0"/>
  </pivotFields>
  <rowFields count="1">
    <field x="5"/>
  </rowFields>
  <rowItems count="6">
    <i>
      <x/>
    </i>
    <i>
      <x v="1"/>
    </i>
    <i>
      <x v="2"/>
    </i>
    <i>
      <x v="3"/>
    </i>
    <i>
      <x v="4"/>
    </i>
    <i t="grand">
      <x/>
    </i>
  </rowItems>
  <colFields count="1">
    <field x="-2"/>
  </colFields>
  <colItems count="3">
    <i>
      <x/>
    </i>
    <i i="1">
      <x v="1"/>
    </i>
    <i i="2">
      <x v="2"/>
    </i>
  </colItems>
  <dataFields count="3">
    <dataField name="Sum of Cost" fld="11" baseField="0" baseItem="0"/>
    <dataField name="Sum of Sales" fld="10"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18366A-7F5E-49AF-A504-59BF76BF17D5}"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8" firstHeaderRow="1" firstDataRow="1" firstDataCol="1"/>
  <pivotFields count="18">
    <pivotField showAll="0"/>
    <pivotField numFmtId="14" showAll="0">
      <items count="81">
        <item x="0"/>
        <item x="1"/>
        <item x="2"/>
        <item x="3"/>
        <item x="4"/>
        <item x="5"/>
        <item x="6"/>
        <item x="7"/>
        <item x="8"/>
        <item x="9"/>
        <item x="10"/>
        <item x="11"/>
        <item x="12"/>
        <item x="13"/>
        <item x="14"/>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5"/>
        <item x="27"/>
        <item t="default"/>
      </items>
    </pivotField>
    <pivotField showAll="0"/>
    <pivotField showAll="0">
      <items count="6">
        <item x="1"/>
        <item x="2"/>
        <item x="4"/>
        <item x="0"/>
        <item x="3"/>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axis="axisRow" showAll="0">
      <items count="6">
        <item x="3"/>
        <item m="1" x="4"/>
        <item x="0"/>
        <item x="2"/>
        <item x="1"/>
        <item t="default"/>
      </items>
    </pivotField>
    <pivotField showAll="0"/>
    <pivotField showAll="0"/>
    <pivotField dataField="1" showAll="0"/>
    <pivotField showAll="0">
      <items count="7">
        <item x="0"/>
        <item x="1"/>
        <item x="2"/>
        <item x="3"/>
        <item x="4"/>
        <item x="5"/>
        <item t="default"/>
      </items>
    </pivotField>
    <pivotField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2"/>
    </i>
    <i>
      <x v="3"/>
    </i>
    <i>
      <x v="4"/>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A0D85F-441D-4584-AFE2-9CF6B5ADA8C9}"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R11" firstHeaderRow="1" firstDataRow="2" firstDataCol="1"/>
  <pivotFields count="16">
    <pivotField dataField="1" showAll="0"/>
    <pivotField numFmtId="14" showAll="0"/>
    <pivotField showAll="0"/>
    <pivotField showAll="0"/>
    <pivotField showAll="0"/>
    <pivotField showAll="0"/>
    <pivotField showAll="0"/>
    <pivotField showAll="0"/>
    <pivotField showAll="0"/>
    <pivotField axis="axisCol" showAll="0">
      <items count="5">
        <item x="3"/>
        <item x="0"/>
        <item x="2"/>
        <item x="1"/>
        <item t="default"/>
      </items>
    </pivotField>
    <pivotField showAll="0"/>
    <pivotField showAll="0"/>
    <pivotField showAll="0"/>
    <pivotField axis="axisRow" showAll="0">
      <items count="7">
        <item sd="0" x="0"/>
        <item sd="0" x="1"/>
        <item sd="0" x="2"/>
        <item sd="0" x="3"/>
        <item sd="0" x="4"/>
        <item sd="0" x="5"/>
        <item t="default" sd="0"/>
      </items>
    </pivotField>
    <pivotField showAll="0"/>
    <pivotField numFmtId="10" showAll="0"/>
  </pivotFields>
  <rowFields count="1">
    <field x="13"/>
  </rowFields>
  <rowItems count="7">
    <i>
      <x/>
    </i>
    <i>
      <x v="1"/>
    </i>
    <i>
      <x v="2"/>
    </i>
    <i>
      <x v="3"/>
    </i>
    <i>
      <x v="4"/>
    </i>
    <i>
      <x v="5"/>
    </i>
    <i t="grand">
      <x/>
    </i>
  </rowItems>
  <colFields count="1">
    <field x="9"/>
  </colFields>
  <colItems count="5">
    <i>
      <x/>
    </i>
    <i>
      <x v="1"/>
    </i>
    <i>
      <x v="2"/>
    </i>
    <i>
      <x v="3"/>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DDE5CC2-8168-45C1-B22A-413FDAB4AF56}" sourceName="Month">
  <pivotTables>
    <pivotTable tabId="3" name="PivotTable1"/>
    <pivotTable tabId="9" name="PivotTable11"/>
    <pivotTable tabId="9" name="PivotTable12"/>
    <pivotTable tabId="9" name="PivotTable13"/>
    <pivotTable tabId="9" name="PivotTable14"/>
    <pivotTable tabId="9" name="PivotTable15"/>
    <pivotTable tabId="9" name="PivotTable16"/>
    <pivotTable tabId="3" name="PivotTable10"/>
    <pivotTable tabId="3" name="PivotTable17"/>
    <pivotTable tabId="3" name="PivotTable3"/>
    <pivotTable tabId="3" name="PivotTable7"/>
    <pivotTable tabId="9" name="PivotTable1"/>
    <pivotTable tabId="3" name="PivotTable22"/>
  </pivotTables>
  <data>
    <tabular pivotCacheId="2106293688">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7507A0-816C-4D53-A5EA-65DA47E6ABD5}" sourceName="Region">
  <pivotTables>
    <pivotTable tabId="3" name="PivotTable1"/>
    <pivotTable tabId="9" name="PivotTable1"/>
    <pivotTable tabId="9" name="PivotTable11"/>
    <pivotTable tabId="9" name="PivotTable12"/>
    <pivotTable tabId="9" name="PivotTable13"/>
    <pivotTable tabId="9" name="PivotTable14"/>
    <pivotTable tabId="9" name="PivotTable15"/>
    <pivotTable tabId="9" name="PivotTable16"/>
    <pivotTable tabId="3" name="PivotTable10"/>
    <pivotTable tabId="3" name="PivotTable17"/>
    <pivotTable tabId="3" name="PivotTable22"/>
    <pivotTable tabId="3" name="PivotTable3"/>
    <pivotTable tabId="3" name="PivotTable7"/>
  </pivotTables>
  <data>
    <tabular pivotCacheId="2106293688">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42BE8C-96BB-4A59-8C71-5730DB460168}" sourceName="Category">
  <pivotTables>
    <pivotTable tabId="3" name="PivotTable1"/>
    <pivotTable tabId="9" name="PivotTable1"/>
    <pivotTable tabId="9" name="PivotTable11"/>
    <pivotTable tabId="9" name="PivotTable12"/>
    <pivotTable tabId="9" name="PivotTable13"/>
    <pivotTable tabId="9" name="PivotTable14"/>
    <pivotTable tabId="9" name="PivotTable15"/>
    <pivotTable tabId="9" name="PivotTable16"/>
    <pivotTable tabId="3" name="PivotTable10"/>
    <pivotTable tabId="3" name="PivotTable17"/>
    <pivotTable tabId="3" name="PivotTable22"/>
    <pivotTable tabId="3" name="PivotTable3"/>
    <pivotTable tabId="3" name="PivotTable7"/>
  </pivotTables>
  <data>
    <tabular pivotCacheId="210629368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D299B8-0363-4406-83D8-4CA4CCAF49D6}" sourceName="Product">
  <pivotTables>
    <pivotTable tabId="3" name="PivotTable3"/>
    <pivotTable tabId="9" name="PivotTable1"/>
    <pivotTable tabId="9" name="PivotTable11"/>
    <pivotTable tabId="9" name="PivotTable12"/>
    <pivotTable tabId="9" name="PivotTable13"/>
    <pivotTable tabId="9" name="PivotTable14"/>
    <pivotTable tabId="9" name="PivotTable15"/>
    <pivotTable tabId="9" name="PivotTable16"/>
    <pivotTable tabId="3" name="PivotTable1"/>
    <pivotTable tabId="3" name="PivotTable10"/>
    <pivotTable tabId="3" name="PivotTable17"/>
    <pivotTable tabId="3" name="PivotTable22"/>
    <pivotTable tabId="3" name="PivotTable7"/>
  </pivotTables>
  <data>
    <tabular pivotCacheId="2106293688">
      <items count="5">
        <i x="1" s="1"/>
        <i x="2" s="1"/>
        <i x="4"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E3820D9-D4C0-430A-A138-4B47BA934590}" sourceName="Payment_Mode">
  <pivotTables>
    <pivotTable tabId="3" name="PivotTable1"/>
    <pivotTable tabId="9" name="PivotTable1"/>
    <pivotTable tabId="9" name="PivotTable11"/>
    <pivotTable tabId="9" name="PivotTable12"/>
    <pivotTable tabId="9" name="PivotTable13"/>
    <pivotTable tabId="9" name="PivotTable14"/>
    <pivotTable tabId="9" name="PivotTable15"/>
    <pivotTable tabId="9" name="PivotTable16"/>
    <pivotTable tabId="3" name="PivotTable10"/>
    <pivotTable tabId="3" name="PivotTable17"/>
    <pivotTable tabId="3" name="PivotTable22"/>
    <pivotTable tabId="3" name="PivotTable3"/>
    <pivotTable tabId="3" name="PivotTable7"/>
  </pivotTables>
  <data>
    <tabular pivotCacheId="2106293688">
      <items count="5">
        <i x="3" s="1"/>
        <i x="0" s="1"/>
        <i x="2"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90EAD15-C1B5-47D9-8D82-CE223B1F9D20}" cache="Slicer_Month" caption="Month" columnCount="3" rowHeight="241300"/>
  <slicer name="Region" xr10:uid="{09BA2B7B-2C12-4C37-AC7D-F35A6A206694}" cache="Slicer_Region" caption="Region" columnCount="2" rowHeight="241300"/>
  <slicer name="Category" xr10:uid="{F1F330E9-857F-4A32-BBE0-7DB67C34A5F2}" cache="Slicer_Category" caption="Category" rowHeight="241300"/>
  <slicer name="Product" xr10:uid="{6043AEE4-E286-471C-9711-35F1FAF88954}" cache="Slicer_Product" caption="Product" columnCount="2" rowHeight="241300"/>
  <slicer name="Payment_Mode" xr10:uid="{45191F9A-F59E-4686-937D-EF85C832C517}" cache="Slicer_Payment_Mode" caption="Payment_Mode" columnCount="2"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3.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C11C-4406-476D-B97D-8B0EB154DF5C}">
  <dimension ref="A3:K12"/>
  <sheetViews>
    <sheetView workbookViewId="0">
      <selection activeCell="B7" sqref="B7"/>
    </sheetView>
  </sheetViews>
  <sheetFormatPr defaultRowHeight="14.5" x14ac:dyDescent="0.35"/>
  <cols>
    <col min="1" max="1" width="17.7265625" bestFit="1" customWidth="1"/>
    <col min="3" max="3" width="11.81640625" bestFit="1" customWidth="1"/>
    <col min="5" max="5" width="16.36328125" bestFit="1" customWidth="1"/>
    <col min="7" max="7" width="14" bestFit="1" customWidth="1"/>
    <col min="9" max="9" width="20.1796875" bestFit="1" customWidth="1"/>
    <col min="11" max="11" width="24.54296875" bestFit="1" customWidth="1"/>
  </cols>
  <sheetData>
    <row r="3" spans="1:11" x14ac:dyDescent="0.35">
      <c r="A3" t="s">
        <v>205</v>
      </c>
      <c r="C3" t="s">
        <v>203</v>
      </c>
      <c r="E3" t="s">
        <v>207</v>
      </c>
      <c r="G3" t="s">
        <v>210</v>
      </c>
      <c r="I3" t="s">
        <v>211</v>
      </c>
      <c r="K3" t="s">
        <v>208</v>
      </c>
    </row>
    <row r="4" spans="1:11" x14ac:dyDescent="0.35">
      <c r="A4">
        <v>2629364.5499999998</v>
      </c>
      <c r="C4">
        <v>780003.52000000025</v>
      </c>
      <c r="E4">
        <v>80</v>
      </c>
      <c r="G4" s="8">
        <v>23117.012875000004</v>
      </c>
      <c r="I4" s="8">
        <v>7.9375</v>
      </c>
      <c r="K4" s="5">
        <v>0.28851339985833335</v>
      </c>
    </row>
    <row r="6" spans="1:11" x14ac:dyDescent="0.35">
      <c r="A6">
        <f>GETPIVOTDATA("Sales",$A$3)</f>
        <v>2629364.5499999998</v>
      </c>
      <c r="C6">
        <f>GETPIVOTDATA("Profit",$C$3)</f>
        <v>780003.52000000025</v>
      </c>
      <c r="E6">
        <f>GETPIVOTDATA("Order_ID",$E$3)</f>
        <v>80</v>
      </c>
      <c r="G6" s="8">
        <f>GETPIVOTDATA("Cost",$G$3)</f>
        <v>23117.012875000004</v>
      </c>
      <c r="I6" s="8">
        <f>GETPIVOTDATA("Discount_%",$I$3)</f>
        <v>7.9375</v>
      </c>
      <c r="K6" s="5">
        <f>GETPIVOTDATA("Profit_Margin_%",$K$3)</f>
        <v>0.28851339985833335</v>
      </c>
    </row>
    <row r="7" spans="1:11" x14ac:dyDescent="0.35">
      <c r="K7" s="5"/>
    </row>
    <row r="9" spans="1:11" x14ac:dyDescent="0.35">
      <c r="A9" t="s">
        <v>212</v>
      </c>
    </row>
    <row r="10" spans="1:11" x14ac:dyDescent="0.35">
      <c r="A10" s="8">
        <v>2.7374999999999998</v>
      </c>
    </row>
    <row r="12" spans="1:11" x14ac:dyDescent="0.35">
      <c r="A12" s="8">
        <f>GETPIVOTDATA("Quantity",$A$9)</f>
        <v>2.7374999999999998</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workbookViewId="0">
      <selection activeCell="D20" sqref="D20"/>
    </sheetView>
  </sheetViews>
  <sheetFormatPr defaultRowHeight="14.5" x14ac:dyDescent="0.35"/>
  <cols>
    <col min="1" max="1" width="10.7265625" customWidth="1"/>
    <col min="2" max="2" width="19.6328125" customWidth="1"/>
    <col min="3" max="3" width="10.6328125" customWidth="1"/>
    <col min="4" max="4" width="12.81640625" customWidth="1"/>
    <col min="5" max="5" width="14.08984375" customWidth="1"/>
    <col min="6" max="6" width="10.54296875" customWidth="1"/>
    <col min="7" max="7" width="10.453125" customWidth="1"/>
    <col min="8" max="8" width="12.6328125" customWidth="1"/>
    <col min="9" max="9" width="12.1796875" customWidth="1"/>
    <col min="10" max="10" width="15.7265625" customWidth="1"/>
    <col min="11" max="11" width="10.26953125" customWidth="1"/>
    <col min="12" max="12" width="10" customWidth="1"/>
    <col min="13" max="13" width="10.4531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s="2">
        <v>46023</v>
      </c>
      <c r="C2" t="s">
        <v>93</v>
      </c>
      <c r="D2" t="s">
        <v>172</v>
      </c>
      <c r="E2" t="s">
        <v>178</v>
      </c>
      <c r="F2" t="s">
        <v>180</v>
      </c>
      <c r="G2">
        <v>3</v>
      </c>
      <c r="H2">
        <v>13962</v>
      </c>
      <c r="I2">
        <v>0</v>
      </c>
      <c r="J2" t="s">
        <v>185</v>
      </c>
      <c r="K2">
        <v>41886</v>
      </c>
      <c r="L2">
        <v>28238.14</v>
      </c>
      <c r="M2">
        <v>13647.86</v>
      </c>
    </row>
    <row r="3" spans="1:13" x14ac:dyDescent="0.35">
      <c r="A3" t="s">
        <v>14</v>
      </c>
      <c r="B3" s="2">
        <v>46025.278481012647</v>
      </c>
      <c r="C3" t="s">
        <v>94</v>
      </c>
      <c r="D3" t="s">
        <v>173</v>
      </c>
      <c r="E3" t="s">
        <v>179</v>
      </c>
      <c r="F3" t="s">
        <v>180</v>
      </c>
      <c r="G3">
        <v>1</v>
      </c>
      <c r="H3">
        <v>3480</v>
      </c>
      <c r="I3">
        <v>5</v>
      </c>
      <c r="J3" t="s">
        <v>186</v>
      </c>
      <c r="K3">
        <v>3306</v>
      </c>
      <c r="L3">
        <v>2339.9699999999998</v>
      </c>
      <c r="M3">
        <v>966.03</v>
      </c>
    </row>
    <row r="4" spans="1:13" x14ac:dyDescent="0.35">
      <c r="A4" t="s">
        <v>15</v>
      </c>
      <c r="B4" s="2">
        <v>46027.556962025323</v>
      </c>
      <c r="C4" t="s">
        <v>95</v>
      </c>
      <c r="D4" t="s">
        <v>174</v>
      </c>
      <c r="E4" t="s">
        <v>179</v>
      </c>
      <c r="F4" t="s">
        <v>180</v>
      </c>
      <c r="G4">
        <v>2</v>
      </c>
      <c r="H4">
        <v>2160</v>
      </c>
      <c r="I4">
        <v>10</v>
      </c>
      <c r="J4" t="s">
        <v>185</v>
      </c>
      <c r="K4">
        <v>3888</v>
      </c>
      <c r="L4">
        <v>2471.5700000000002</v>
      </c>
      <c r="M4">
        <v>1416.43</v>
      </c>
    </row>
    <row r="5" spans="1:13" x14ac:dyDescent="0.35">
      <c r="A5" t="s">
        <v>16</v>
      </c>
      <c r="B5" s="2">
        <v>46029.835443037977</v>
      </c>
      <c r="C5" t="s">
        <v>96</v>
      </c>
      <c r="D5" t="s">
        <v>173</v>
      </c>
      <c r="E5" t="s">
        <v>179</v>
      </c>
      <c r="F5" t="s">
        <v>181</v>
      </c>
      <c r="G5">
        <v>2</v>
      </c>
      <c r="H5">
        <v>3379</v>
      </c>
      <c r="I5">
        <v>5</v>
      </c>
      <c r="J5" t="s">
        <v>185</v>
      </c>
      <c r="K5">
        <v>6420.1</v>
      </c>
      <c r="L5">
        <v>4013.01</v>
      </c>
      <c r="M5">
        <v>2407.09</v>
      </c>
    </row>
    <row r="6" spans="1:13" x14ac:dyDescent="0.35">
      <c r="A6" t="s">
        <v>17</v>
      </c>
      <c r="B6" s="2">
        <v>46032.113924050624</v>
      </c>
      <c r="C6" t="s">
        <v>97</v>
      </c>
      <c r="D6" t="s">
        <v>173</v>
      </c>
      <c r="E6" t="s">
        <v>179</v>
      </c>
      <c r="F6" t="s">
        <v>180</v>
      </c>
      <c r="G6">
        <v>4</v>
      </c>
      <c r="H6">
        <v>3197</v>
      </c>
      <c r="I6">
        <v>10</v>
      </c>
      <c r="J6" t="s">
        <v>186</v>
      </c>
      <c r="K6">
        <v>11509.2</v>
      </c>
      <c r="L6">
        <v>9351.57</v>
      </c>
      <c r="M6">
        <v>2157.63</v>
      </c>
    </row>
    <row r="7" spans="1:13" x14ac:dyDescent="0.35">
      <c r="A7" t="s">
        <v>18</v>
      </c>
      <c r="B7" s="2">
        <v>46034.392405063278</v>
      </c>
      <c r="C7" t="s">
        <v>98</v>
      </c>
      <c r="D7" t="s">
        <v>175</v>
      </c>
      <c r="E7" t="s">
        <v>179</v>
      </c>
      <c r="F7" t="s">
        <v>180</v>
      </c>
      <c r="G7">
        <v>5</v>
      </c>
      <c r="H7">
        <v>1276</v>
      </c>
      <c r="I7">
        <v>5</v>
      </c>
      <c r="J7" t="s">
        <v>187</v>
      </c>
      <c r="K7">
        <v>6061</v>
      </c>
      <c r="L7">
        <v>4771.2</v>
      </c>
      <c r="M7">
        <v>1289.8</v>
      </c>
    </row>
    <row r="8" spans="1:13" x14ac:dyDescent="0.35">
      <c r="A8" t="s">
        <v>19</v>
      </c>
      <c r="B8" s="2">
        <v>46036.670886075954</v>
      </c>
      <c r="C8" t="s">
        <v>99</v>
      </c>
      <c r="D8" t="s">
        <v>174</v>
      </c>
      <c r="E8" t="s">
        <v>179</v>
      </c>
      <c r="F8" t="s">
        <v>180</v>
      </c>
      <c r="G8">
        <v>1</v>
      </c>
      <c r="H8">
        <v>2503</v>
      </c>
      <c r="I8">
        <v>0</v>
      </c>
      <c r="J8" t="s">
        <v>186</v>
      </c>
      <c r="K8">
        <v>2503</v>
      </c>
      <c r="L8">
        <v>1900.26</v>
      </c>
      <c r="M8">
        <v>602.74</v>
      </c>
    </row>
    <row r="9" spans="1:13" x14ac:dyDescent="0.35">
      <c r="A9" t="s">
        <v>20</v>
      </c>
      <c r="B9" s="2">
        <v>46038.9493670886</v>
      </c>
      <c r="C9" t="s">
        <v>100</v>
      </c>
      <c r="D9" t="s">
        <v>174</v>
      </c>
      <c r="E9" t="s">
        <v>179</v>
      </c>
      <c r="F9" t="s">
        <v>182</v>
      </c>
      <c r="G9">
        <v>1</v>
      </c>
      <c r="H9">
        <v>2391</v>
      </c>
      <c r="I9">
        <v>15</v>
      </c>
      <c r="J9" t="s">
        <v>187</v>
      </c>
      <c r="K9">
        <v>2032.35</v>
      </c>
      <c r="L9">
        <v>1426.28</v>
      </c>
      <c r="M9">
        <v>606.07000000000005</v>
      </c>
    </row>
    <row r="10" spans="1:13" x14ac:dyDescent="0.35">
      <c r="A10" t="s">
        <v>21</v>
      </c>
      <c r="B10" s="2">
        <v>46041.227848101262</v>
      </c>
      <c r="C10" t="s">
        <v>101</v>
      </c>
      <c r="D10" t="s">
        <v>174</v>
      </c>
      <c r="E10" t="s">
        <v>179</v>
      </c>
      <c r="F10" t="s">
        <v>180</v>
      </c>
      <c r="G10">
        <v>3</v>
      </c>
      <c r="H10">
        <v>2134</v>
      </c>
      <c r="I10">
        <v>0</v>
      </c>
      <c r="J10" t="s">
        <v>188</v>
      </c>
      <c r="K10">
        <v>6402</v>
      </c>
      <c r="L10">
        <v>4191.13</v>
      </c>
      <c r="M10">
        <v>2210.87</v>
      </c>
    </row>
    <row r="11" spans="1:13" x14ac:dyDescent="0.35">
      <c r="A11" t="s">
        <v>22</v>
      </c>
      <c r="B11" s="2">
        <v>46043.506329113923</v>
      </c>
      <c r="C11" t="s">
        <v>102</v>
      </c>
      <c r="D11" t="s">
        <v>173</v>
      </c>
      <c r="E11" t="s">
        <v>179</v>
      </c>
      <c r="F11" t="s">
        <v>183</v>
      </c>
      <c r="G11">
        <v>2</v>
      </c>
      <c r="H11">
        <v>2994</v>
      </c>
      <c r="I11">
        <v>15</v>
      </c>
      <c r="J11" t="s">
        <v>185</v>
      </c>
      <c r="K11">
        <v>5089.8</v>
      </c>
      <c r="L11">
        <v>3314.92</v>
      </c>
      <c r="M11">
        <v>1774.88</v>
      </c>
    </row>
    <row r="12" spans="1:13" x14ac:dyDescent="0.35">
      <c r="A12" t="s">
        <v>23</v>
      </c>
      <c r="B12" s="2">
        <v>46045.784810126577</v>
      </c>
      <c r="C12" t="s">
        <v>103</v>
      </c>
      <c r="D12" t="s">
        <v>172</v>
      </c>
      <c r="E12" t="s">
        <v>178</v>
      </c>
      <c r="F12" t="s">
        <v>180</v>
      </c>
      <c r="G12">
        <v>5</v>
      </c>
      <c r="H12">
        <v>14200</v>
      </c>
      <c r="I12">
        <v>5</v>
      </c>
      <c r="J12" t="s">
        <v>185</v>
      </c>
      <c r="K12">
        <v>67450</v>
      </c>
      <c r="L12">
        <v>45194.78</v>
      </c>
      <c r="M12">
        <v>22255.22</v>
      </c>
    </row>
    <row r="13" spans="1:13" x14ac:dyDescent="0.35">
      <c r="A13" t="s">
        <v>24</v>
      </c>
      <c r="B13" s="2">
        <v>46048.063291139239</v>
      </c>
      <c r="C13" t="s">
        <v>104</v>
      </c>
      <c r="D13" t="s">
        <v>174</v>
      </c>
      <c r="E13" t="s">
        <v>179</v>
      </c>
      <c r="F13" t="s">
        <v>183</v>
      </c>
      <c r="G13">
        <v>4</v>
      </c>
      <c r="H13">
        <v>2639</v>
      </c>
      <c r="I13">
        <v>10</v>
      </c>
      <c r="J13" t="s">
        <v>189</v>
      </c>
      <c r="K13">
        <v>9500.4</v>
      </c>
      <c r="L13">
        <v>6933.82</v>
      </c>
      <c r="M13">
        <v>2566.58</v>
      </c>
    </row>
    <row r="14" spans="1:13" x14ac:dyDescent="0.35">
      <c r="A14" t="s">
        <v>25</v>
      </c>
      <c r="B14" s="2">
        <v>46050.3417721519</v>
      </c>
      <c r="C14" t="s">
        <v>105</v>
      </c>
      <c r="D14" t="s">
        <v>173</v>
      </c>
      <c r="E14" t="s">
        <v>179</v>
      </c>
      <c r="F14" t="s">
        <v>183</v>
      </c>
      <c r="G14">
        <v>2</v>
      </c>
      <c r="H14">
        <v>2832</v>
      </c>
      <c r="I14">
        <v>0</v>
      </c>
      <c r="J14" t="s">
        <v>187</v>
      </c>
      <c r="K14">
        <v>5664</v>
      </c>
      <c r="L14">
        <v>4321.17</v>
      </c>
      <c r="M14">
        <v>1342.83</v>
      </c>
    </row>
    <row r="15" spans="1:13" x14ac:dyDescent="0.35">
      <c r="A15" t="s">
        <v>26</v>
      </c>
      <c r="B15" s="2">
        <v>46052.620253164547</v>
      </c>
      <c r="C15" t="s">
        <v>106</v>
      </c>
      <c r="D15" t="s">
        <v>175</v>
      </c>
      <c r="E15" t="s">
        <v>179</v>
      </c>
      <c r="F15" t="s">
        <v>183</v>
      </c>
      <c r="G15">
        <v>4</v>
      </c>
      <c r="H15">
        <v>1687</v>
      </c>
      <c r="I15">
        <v>15</v>
      </c>
      <c r="J15" t="s">
        <v>189</v>
      </c>
      <c r="K15">
        <v>5735.8</v>
      </c>
      <c r="L15">
        <v>4313.55</v>
      </c>
      <c r="M15">
        <v>1422.25</v>
      </c>
    </row>
    <row r="16" spans="1:13" x14ac:dyDescent="0.35">
      <c r="A16" t="s">
        <v>27</v>
      </c>
      <c r="B16" s="2">
        <v>46054.898734177208</v>
      </c>
      <c r="C16" t="s">
        <v>107</v>
      </c>
      <c r="D16" t="s">
        <v>172</v>
      </c>
      <c r="E16" t="s">
        <v>178</v>
      </c>
      <c r="F16" t="s">
        <v>182</v>
      </c>
      <c r="G16">
        <v>3</v>
      </c>
      <c r="H16">
        <v>14259</v>
      </c>
      <c r="I16">
        <v>0</v>
      </c>
      <c r="J16" t="s">
        <v>189</v>
      </c>
      <c r="K16">
        <v>42777</v>
      </c>
      <c r="L16">
        <v>28916.69</v>
      </c>
      <c r="M16">
        <v>13860.31</v>
      </c>
    </row>
    <row r="17" spans="1:13" x14ac:dyDescent="0.35">
      <c r="A17" t="s">
        <v>28</v>
      </c>
      <c r="B17" s="2">
        <v>46057.177215189869</v>
      </c>
      <c r="C17" t="s">
        <v>108</v>
      </c>
      <c r="D17" t="s">
        <v>175</v>
      </c>
      <c r="E17" t="s">
        <v>179</v>
      </c>
      <c r="F17" t="s">
        <v>182</v>
      </c>
      <c r="G17">
        <v>3</v>
      </c>
      <c r="H17">
        <v>1469</v>
      </c>
      <c r="I17">
        <v>15</v>
      </c>
      <c r="J17" t="s">
        <v>186</v>
      </c>
      <c r="K17">
        <v>3745.95</v>
      </c>
      <c r="L17">
        <v>3037.86</v>
      </c>
      <c r="M17">
        <v>708.09</v>
      </c>
    </row>
    <row r="18" spans="1:13" x14ac:dyDescent="0.35">
      <c r="A18" t="s">
        <v>29</v>
      </c>
      <c r="B18" s="2">
        <v>46059.455696202524</v>
      </c>
      <c r="C18" t="s">
        <v>109</v>
      </c>
      <c r="D18" t="s">
        <v>172</v>
      </c>
      <c r="E18" t="s">
        <v>178</v>
      </c>
      <c r="F18" t="s">
        <v>182</v>
      </c>
      <c r="G18">
        <v>1</v>
      </c>
      <c r="H18">
        <v>14174</v>
      </c>
      <c r="I18">
        <v>0</v>
      </c>
      <c r="J18" t="s">
        <v>189</v>
      </c>
      <c r="K18">
        <v>14174</v>
      </c>
      <c r="L18">
        <v>10879.67</v>
      </c>
      <c r="M18">
        <v>3294.33</v>
      </c>
    </row>
    <row r="19" spans="1:13" x14ac:dyDescent="0.35">
      <c r="A19" t="s">
        <v>30</v>
      </c>
      <c r="B19" s="2">
        <v>46061.734177215178</v>
      </c>
      <c r="C19" t="s">
        <v>110</v>
      </c>
      <c r="D19" t="s">
        <v>173</v>
      </c>
      <c r="E19" t="s">
        <v>179</v>
      </c>
      <c r="F19" t="s">
        <v>180</v>
      </c>
      <c r="G19">
        <v>5</v>
      </c>
      <c r="H19">
        <v>2821</v>
      </c>
      <c r="I19">
        <v>15</v>
      </c>
      <c r="J19" t="s">
        <v>186</v>
      </c>
      <c r="K19">
        <v>11989.25</v>
      </c>
      <c r="L19">
        <v>8762.59</v>
      </c>
      <c r="M19">
        <v>3226.66</v>
      </c>
    </row>
    <row r="20" spans="1:13" x14ac:dyDescent="0.35">
      <c r="A20" t="s">
        <v>31</v>
      </c>
      <c r="B20" s="2">
        <v>46064.012658227854</v>
      </c>
      <c r="C20" t="s">
        <v>111</v>
      </c>
      <c r="D20" t="s">
        <v>176</v>
      </c>
      <c r="E20" t="s">
        <v>178</v>
      </c>
      <c r="F20" t="s">
        <v>183</v>
      </c>
      <c r="G20">
        <v>4</v>
      </c>
      <c r="H20">
        <v>55469</v>
      </c>
      <c r="I20">
        <v>15</v>
      </c>
      <c r="J20" t="s">
        <v>186</v>
      </c>
      <c r="K20">
        <v>188594.6</v>
      </c>
      <c r="L20">
        <v>140002.1</v>
      </c>
      <c r="M20">
        <v>48592.5</v>
      </c>
    </row>
    <row r="21" spans="1:13" x14ac:dyDescent="0.35">
      <c r="A21" t="s">
        <v>32</v>
      </c>
      <c r="B21" s="2">
        <v>46066.2911392405</v>
      </c>
      <c r="C21" t="s">
        <v>112</v>
      </c>
      <c r="D21" t="s">
        <v>172</v>
      </c>
      <c r="E21" t="s">
        <v>178</v>
      </c>
      <c r="F21" t="s">
        <v>182</v>
      </c>
      <c r="G21">
        <v>2</v>
      </c>
      <c r="H21">
        <v>13837</v>
      </c>
      <c r="I21">
        <v>5</v>
      </c>
      <c r="J21" t="s">
        <v>189</v>
      </c>
      <c r="K21">
        <v>26290.3</v>
      </c>
      <c r="L21">
        <v>18506.27</v>
      </c>
      <c r="M21">
        <v>7784.03</v>
      </c>
    </row>
    <row r="22" spans="1:13" x14ac:dyDescent="0.35">
      <c r="A22" t="s">
        <v>33</v>
      </c>
      <c r="B22" s="2">
        <v>46068.569620253162</v>
      </c>
      <c r="C22" t="s">
        <v>113</v>
      </c>
      <c r="D22" t="s">
        <v>175</v>
      </c>
      <c r="E22" t="s">
        <v>179</v>
      </c>
      <c r="F22" t="s">
        <v>182</v>
      </c>
      <c r="G22">
        <v>3</v>
      </c>
      <c r="H22">
        <v>1229</v>
      </c>
      <c r="I22">
        <v>15</v>
      </c>
      <c r="J22" t="s">
        <v>187</v>
      </c>
      <c r="K22">
        <v>3133.95</v>
      </c>
      <c r="L22">
        <v>2098.3200000000002</v>
      </c>
      <c r="M22">
        <v>1035.6300000000001</v>
      </c>
    </row>
    <row r="23" spans="1:13" x14ac:dyDescent="0.35">
      <c r="A23" t="s">
        <v>34</v>
      </c>
      <c r="B23" s="2">
        <v>46070.848101265823</v>
      </c>
      <c r="C23" t="s">
        <v>114</v>
      </c>
      <c r="D23" t="s">
        <v>173</v>
      </c>
      <c r="E23" t="s">
        <v>179</v>
      </c>
      <c r="F23" t="s">
        <v>180</v>
      </c>
      <c r="G23">
        <v>1</v>
      </c>
      <c r="H23">
        <v>3164</v>
      </c>
      <c r="I23">
        <v>5</v>
      </c>
      <c r="J23" t="s">
        <v>187</v>
      </c>
      <c r="K23">
        <v>3005.8</v>
      </c>
      <c r="L23">
        <v>2077.59</v>
      </c>
      <c r="M23">
        <v>928.21</v>
      </c>
    </row>
    <row r="24" spans="1:13" x14ac:dyDescent="0.35">
      <c r="A24" t="s">
        <v>35</v>
      </c>
      <c r="B24" s="2">
        <v>46073.12658227847</v>
      </c>
      <c r="C24" t="s">
        <v>115</v>
      </c>
      <c r="D24" t="s">
        <v>177</v>
      </c>
      <c r="E24" t="s">
        <v>178</v>
      </c>
      <c r="F24" t="s">
        <v>182</v>
      </c>
      <c r="G24">
        <v>1</v>
      </c>
      <c r="H24">
        <v>14362</v>
      </c>
      <c r="I24">
        <v>15</v>
      </c>
      <c r="J24" t="s">
        <v>187</v>
      </c>
      <c r="K24">
        <v>12207.7</v>
      </c>
      <c r="L24">
        <v>9419.09</v>
      </c>
      <c r="M24">
        <v>2788.61</v>
      </c>
    </row>
    <row r="25" spans="1:13" x14ac:dyDescent="0.35">
      <c r="A25" t="s">
        <v>36</v>
      </c>
      <c r="B25" s="2">
        <v>46075.405063291131</v>
      </c>
      <c r="C25" t="s">
        <v>116</v>
      </c>
      <c r="D25" t="s">
        <v>176</v>
      </c>
      <c r="E25" t="s">
        <v>178</v>
      </c>
      <c r="F25" t="s">
        <v>180</v>
      </c>
      <c r="G25">
        <v>4</v>
      </c>
      <c r="H25">
        <v>55237</v>
      </c>
      <c r="I25">
        <v>10</v>
      </c>
      <c r="J25" t="s">
        <v>187</v>
      </c>
      <c r="K25">
        <v>198853.2</v>
      </c>
      <c r="L25">
        <v>123861.42</v>
      </c>
      <c r="M25">
        <v>74991.78</v>
      </c>
    </row>
    <row r="26" spans="1:13" x14ac:dyDescent="0.35">
      <c r="A26" t="s">
        <v>37</v>
      </c>
      <c r="B26" s="2">
        <v>46077.6835443038</v>
      </c>
      <c r="C26" t="s">
        <v>117</v>
      </c>
      <c r="D26" t="s">
        <v>176</v>
      </c>
      <c r="E26" t="s">
        <v>178</v>
      </c>
      <c r="F26" t="s">
        <v>184</v>
      </c>
      <c r="G26">
        <v>3</v>
      </c>
      <c r="H26">
        <v>55082</v>
      </c>
      <c r="I26">
        <v>10</v>
      </c>
      <c r="J26" t="s">
        <v>187</v>
      </c>
      <c r="K26">
        <v>148721.4</v>
      </c>
      <c r="L26">
        <v>95659.77</v>
      </c>
      <c r="M26">
        <v>53061.63</v>
      </c>
    </row>
    <row r="27" spans="1:13" x14ac:dyDescent="0.35">
      <c r="A27" t="s">
        <v>38</v>
      </c>
      <c r="B27" s="2">
        <v>46079.962025316447</v>
      </c>
      <c r="C27" t="s">
        <v>118</v>
      </c>
      <c r="D27" t="s">
        <v>174</v>
      </c>
      <c r="E27" t="s">
        <v>179</v>
      </c>
      <c r="F27" t="s">
        <v>182</v>
      </c>
      <c r="G27">
        <v>5</v>
      </c>
      <c r="H27">
        <v>2026</v>
      </c>
      <c r="I27">
        <v>10</v>
      </c>
      <c r="J27" t="s">
        <v>189</v>
      </c>
      <c r="K27">
        <v>9117</v>
      </c>
      <c r="L27">
        <v>5736.42</v>
      </c>
      <c r="M27">
        <v>3380.58</v>
      </c>
    </row>
    <row r="28" spans="1:13" x14ac:dyDescent="0.35">
      <c r="A28" t="s">
        <v>39</v>
      </c>
      <c r="B28" s="2">
        <v>46082.240506329108</v>
      </c>
      <c r="C28" t="s">
        <v>119</v>
      </c>
      <c r="D28" t="s">
        <v>174</v>
      </c>
      <c r="E28" t="s">
        <v>179</v>
      </c>
      <c r="F28" t="s">
        <v>184</v>
      </c>
      <c r="G28">
        <v>3</v>
      </c>
      <c r="H28">
        <v>2225</v>
      </c>
      <c r="I28">
        <v>15</v>
      </c>
      <c r="J28" t="s">
        <v>189</v>
      </c>
      <c r="K28">
        <v>5673.75</v>
      </c>
      <c r="L28">
        <v>3563.94</v>
      </c>
      <c r="M28">
        <v>2109.81</v>
      </c>
    </row>
    <row r="29" spans="1:13" x14ac:dyDescent="0.35">
      <c r="A29" t="s">
        <v>40</v>
      </c>
      <c r="B29" s="2">
        <v>46084.518987341769</v>
      </c>
      <c r="C29" t="s">
        <v>120</v>
      </c>
      <c r="D29" t="s">
        <v>175</v>
      </c>
      <c r="E29" t="s">
        <v>179</v>
      </c>
      <c r="F29" t="s">
        <v>180</v>
      </c>
      <c r="G29">
        <v>4</v>
      </c>
      <c r="H29">
        <v>1276</v>
      </c>
      <c r="I29">
        <v>5</v>
      </c>
      <c r="J29" t="s">
        <v>185</v>
      </c>
      <c r="K29">
        <v>4848.8</v>
      </c>
      <c r="L29">
        <v>3835.85</v>
      </c>
      <c r="M29">
        <v>1012.95</v>
      </c>
    </row>
    <row r="30" spans="1:13" x14ac:dyDescent="0.35">
      <c r="A30" t="s">
        <v>41</v>
      </c>
      <c r="B30" s="2">
        <v>46086.797468354423</v>
      </c>
      <c r="C30" t="s">
        <v>121</v>
      </c>
      <c r="D30" t="s">
        <v>172</v>
      </c>
      <c r="E30" t="s">
        <v>178</v>
      </c>
      <c r="F30" t="s">
        <v>183</v>
      </c>
      <c r="G30">
        <v>4</v>
      </c>
      <c r="H30">
        <v>14408</v>
      </c>
      <c r="I30">
        <v>5</v>
      </c>
      <c r="J30" t="s">
        <v>187</v>
      </c>
      <c r="K30">
        <v>54750.400000000001</v>
      </c>
      <c r="L30">
        <v>41650.36</v>
      </c>
      <c r="M30">
        <v>13100.04</v>
      </c>
    </row>
    <row r="31" spans="1:13" x14ac:dyDescent="0.35">
      <c r="A31" t="s">
        <v>42</v>
      </c>
      <c r="B31" s="2">
        <v>46089.075949367078</v>
      </c>
      <c r="C31" t="s">
        <v>122</v>
      </c>
      <c r="D31" t="s">
        <v>172</v>
      </c>
      <c r="E31" t="s">
        <v>178</v>
      </c>
      <c r="F31" t="s">
        <v>182</v>
      </c>
      <c r="G31">
        <v>3</v>
      </c>
      <c r="H31">
        <v>14083</v>
      </c>
      <c r="I31">
        <v>15</v>
      </c>
      <c r="J31" t="s">
        <v>189</v>
      </c>
      <c r="K31">
        <v>35911.65</v>
      </c>
      <c r="L31">
        <v>25670.9</v>
      </c>
      <c r="M31">
        <v>10240.75</v>
      </c>
    </row>
    <row r="32" spans="1:13" x14ac:dyDescent="0.35">
      <c r="A32" t="s">
        <v>43</v>
      </c>
      <c r="B32" s="2">
        <v>46091.354430379753</v>
      </c>
      <c r="C32" t="s">
        <v>123</v>
      </c>
      <c r="D32" t="s">
        <v>174</v>
      </c>
      <c r="E32" t="s">
        <v>179</v>
      </c>
      <c r="F32" t="s">
        <v>180</v>
      </c>
      <c r="G32">
        <v>4</v>
      </c>
      <c r="H32">
        <v>2480</v>
      </c>
      <c r="I32">
        <v>10</v>
      </c>
      <c r="J32" t="s">
        <v>185</v>
      </c>
      <c r="K32">
        <v>8928</v>
      </c>
      <c r="L32">
        <v>5710.05</v>
      </c>
      <c r="M32">
        <v>3217.95</v>
      </c>
    </row>
    <row r="33" spans="1:13" x14ac:dyDescent="0.35">
      <c r="A33" t="s">
        <v>44</v>
      </c>
      <c r="B33" s="2">
        <v>46093.632911392393</v>
      </c>
      <c r="C33" t="s">
        <v>124</v>
      </c>
      <c r="D33" t="s">
        <v>172</v>
      </c>
      <c r="E33" t="s">
        <v>178</v>
      </c>
      <c r="F33" t="s">
        <v>183</v>
      </c>
      <c r="G33">
        <v>3</v>
      </c>
      <c r="H33">
        <v>14252</v>
      </c>
      <c r="J33" t="s">
        <v>187</v>
      </c>
      <c r="K33">
        <v>38480.400000000001</v>
      </c>
      <c r="L33">
        <v>27641.360000000001</v>
      </c>
      <c r="M33">
        <v>10839.04</v>
      </c>
    </row>
    <row r="34" spans="1:13" x14ac:dyDescent="0.35">
      <c r="A34" t="s">
        <v>45</v>
      </c>
      <c r="B34" s="2">
        <v>46095.911392405047</v>
      </c>
      <c r="C34" t="s">
        <v>125</v>
      </c>
      <c r="D34" t="s">
        <v>172</v>
      </c>
      <c r="E34" t="s">
        <v>178</v>
      </c>
      <c r="F34" t="s">
        <v>183</v>
      </c>
      <c r="G34">
        <v>2</v>
      </c>
      <c r="H34">
        <v>14458</v>
      </c>
      <c r="I34">
        <v>5</v>
      </c>
      <c r="J34" t="s">
        <v>186</v>
      </c>
      <c r="K34">
        <v>27470.2</v>
      </c>
      <c r="L34">
        <v>19632.8</v>
      </c>
      <c r="M34">
        <v>7837.4</v>
      </c>
    </row>
    <row r="35" spans="1:13" x14ac:dyDescent="0.35">
      <c r="A35" t="s">
        <v>46</v>
      </c>
      <c r="B35" s="2">
        <v>46098.189873417723</v>
      </c>
      <c r="C35" t="s">
        <v>126</v>
      </c>
      <c r="D35" t="s">
        <v>176</v>
      </c>
      <c r="E35" t="s">
        <v>178</v>
      </c>
      <c r="F35" t="s">
        <v>184</v>
      </c>
      <c r="G35">
        <v>3</v>
      </c>
      <c r="H35">
        <v>55315</v>
      </c>
      <c r="I35">
        <v>10</v>
      </c>
      <c r="J35" t="s">
        <v>185</v>
      </c>
      <c r="K35">
        <v>149350.5</v>
      </c>
      <c r="L35">
        <v>97770.87</v>
      </c>
      <c r="M35">
        <v>51579.63</v>
      </c>
    </row>
    <row r="36" spans="1:13" x14ac:dyDescent="0.35">
      <c r="A36" t="s">
        <v>47</v>
      </c>
      <c r="B36" s="2">
        <v>46100.46835443037</v>
      </c>
      <c r="C36" t="s">
        <v>127</v>
      </c>
      <c r="D36" t="s">
        <v>174</v>
      </c>
      <c r="E36" t="s">
        <v>179</v>
      </c>
      <c r="F36" t="s">
        <v>180</v>
      </c>
      <c r="G36">
        <v>3</v>
      </c>
      <c r="H36">
        <v>2546</v>
      </c>
      <c r="I36">
        <v>0</v>
      </c>
      <c r="J36" t="s">
        <v>189</v>
      </c>
      <c r="K36">
        <v>7638</v>
      </c>
      <c r="L36">
        <v>5398.31</v>
      </c>
      <c r="M36">
        <v>2239.69</v>
      </c>
    </row>
    <row r="37" spans="1:13" x14ac:dyDescent="0.35">
      <c r="A37" t="s">
        <v>48</v>
      </c>
      <c r="B37" s="2">
        <v>46102.746835443031</v>
      </c>
      <c r="C37" t="s">
        <v>128</v>
      </c>
      <c r="D37" t="s">
        <v>173</v>
      </c>
      <c r="E37" t="s">
        <v>179</v>
      </c>
      <c r="F37" t="s">
        <v>183</v>
      </c>
      <c r="G37">
        <v>4</v>
      </c>
      <c r="H37">
        <v>2991</v>
      </c>
      <c r="I37">
        <v>5</v>
      </c>
      <c r="J37" t="s">
        <v>186</v>
      </c>
      <c r="K37">
        <v>11365.8</v>
      </c>
      <c r="L37">
        <v>7952.66</v>
      </c>
      <c r="M37">
        <v>3413.14</v>
      </c>
    </row>
    <row r="38" spans="1:13" x14ac:dyDescent="0.35">
      <c r="A38" t="s">
        <v>49</v>
      </c>
      <c r="B38" s="2">
        <v>46105.025316455693</v>
      </c>
      <c r="C38" t="s">
        <v>129</v>
      </c>
      <c r="D38" t="s">
        <v>174</v>
      </c>
      <c r="E38" t="s">
        <v>179</v>
      </c>
      <c r="F38" t="s">
        <v>182</v>
      </c>
      <c r="G38">
        <v>4</v>
      </c>
      <c r="H38">
        <v>2048</v>
      </c>
      <c r="I38">
        <v>10</v>
      </c>
      <c r="J38" t="s">
        <v>186</v>
      </c>
      <c r="K38">
        <v>7372.8</v>
      </c>
      <c r="L38">
        <v>5479.24</v>
      </c>
      <c r="M38">
        <v>1893.56</v>
      </c>
    </row>
    <row r="39" spans="1:13" x14ac:dyDescent="0.35">
      <c r="A39" t="s">
        <v>50</v>
      </c>
      <c r="B39" s="2">
        <v>46107.303797468347</v>
      </c>
      <c r="C39" t="s">
        <v>130</v>
      </c>
      <c r="D39" t="s">
        <v>173</v>
      </c>
      <c r="E39" t="s">
        <v>179</v>
      </c>
      <c r="F39" t="s">
        <v>182</v>
      </c>
      <c r="G39">
        <v>1</v>
      </c>
      <c r="H39">
        <v>3311</v>
      </c>
      <c r="I39">
        <v>5</v>
      </c>
      <c r="J39" t="s">
        <v>186</v>
      </c>
      <c r="K39">
        <v>3145.45</v>
      </c>
      <c r="L39">
        <v>2349.71</v>
      </c>
      <c r="M39">
        <v>795.74</v>
      </c>
    </row>
    <row r="40" spans="1:13" x14ac:dyDescent="0.35">
      <c r="A40" t="s">
        <v>51</v>
      </c>
      <c r="B40" s="2">
        <v>46109.582278481008</v>
      </c>
      <c r="C40" t="s">
        <v>131</v>
      </c>
      <c r="D40" t="s">
        <v>176</v>
      </c>
      <c r="E40" t="s">
        <v>178</v>
      </c>
      <c r="F40" t="s">
        <v>184</v>
      </c>
      <c r="G40">
        <v>1</v>
      </c>
      <c r="H40">
        <v>54816</v>
      </c>
      <c r="I40">
        <v>0</v>
      </c>
      <c r="J40" t="s">
        <v>185</v>
      </c>
      <c r="K40">
        <v>54816</v>
      </c>
      <c r="L40">
        <v>34482.6</v>
      </c>
      <c r="M40">
        <v>20333.400000000001</v>
      </c>
    </row>
    <row r="41" spans="1:13" x14ac:dyDescent="0.35">
      <c r="A41" t="s">
        <v>52</v>
      </c>
      <c r="B41" s="2">
        <v>46111.860759493669</v>
      </c>
      <c r="C41" t="s">
        <v>132</v>
      </c>
      <c r="D41" t="s">
        <v>175</v>
      </c>
      <c r="E41" t="s">
        <v>179</v>
      </c>
      <c r="F41" t="s">
        <v>183</v>
      </c>
      <c r="G41">
        <v>2</v>
      </c>
      <c r="H41">
        <v>1171</v>
      </c>
      <c r="I41">
        <v>5</v>
      </c>
      <c r="J41" t="s">
        <v>189</v>
      </c>
      <c r="K41">
        <v>2224.9</v>
      </c>
      <c r="L41">
        <v>1546.13</v>
      </c>
      <c r="M41">
        <v>678.77</v>
      </c>
    </row>
    <row r="42" spans="1:13" x14ac:dyDescent="0.35">
      <c r="A42" t="s">
        <v>53</v>
      </c>
      <c r="B42" s="2">
        <v>46114.139240506323</v>
      </c>
      <c r="C42" t="s">
        <v>133</v>
      </c>
      <c r="D42" t="s">
        <v>172</v>
      </c>
      <c r="E42" t="s">
        <v>178</v>
      </c>
      <c r="F42" t="s">
        <v>180</v>
      </c>
      <c r="G42">
        <v>1</v>
      </c>
      <c r="H42">
        <v>14019</v>
      </c>
      <c r="I42">
        <v>5</v>
      </c>
      <c r="J42" t="s">
        <v>186</v>
      </c>
      <c r="K42">
        <v>13318.05</v>
      </c>
      <c r="L42">
        <v>9924.24</v>
      </c>
      <c r="M42">
        <v>3393.81</v>
      </c>
    </row>
    <row r="43" spans="1:13" x14ac:dyDescent="0.35">
      <c r="A43" t="s">
        <v>54</v>
      </c>
      <c r="B43" s="2">
        <v>46116.417721518977</v>
      </c>
      <c r="C43" t="s">
        <v>134</v>
      </c>
      <c r="D43" t="s">
        <v>176</v>
      </c>
      <c r="E43" t="s">
        <v>178</v>
      </c>
      <c r="F43" t="s">
        <v>182</v>
      </c>
      <c r="G43">
        <v>3</v>
      </c>
      <c r="H43">
        <v>54957</v>
      </c>
      <c r="I43">
        <v>5</v>
      </c>
      <c r="J43" t="s">
        <v>187</v>
      </c>
      <c r="K43">
        <v>156627.45000000001</v>
      </c>
      <c r="L43">
        <v>112870.01</v>
      </c>
      <c r="M43">
        <v>43757.440000000002</v>
      </c>
    </row>
    <row r="44" spans="1:13" x14ac:dyDescent="0.35">
      <c r="A44" t="s">
        <v>55</v>
      </c>
      <c r="B44" s="2">
        <v>46118.696202531653</v>
      </c>
      <c r="C44" t="s">
        <v>135</v>
      </c>
      <c r="D44" t="s">
        <v>172</v>
      </c>
      <c r="E44" t="s">
        <v>178</v>
      </c>
      <c r="F44" t="s">
        <v>183</v>
      </c>
      <c r="G44">
        <v>4</v>
      </c>
      <c r="H44">
        <v>14276</v>
      </c>
      <c r="I44">
        <v>5</v>
      </c>
      <c r="J44" t="s">
        <v>186</v>
      </c>
      <c r="K44">
        <v>54248.800000000003</v>
      </c>
      <c r="L44">
        <v>42926.97</v>
      </c>
      <c r="M44">
        <v>11321.83</v>
      </c>
    </row>
    <row r="45" spans="1:13" x14ac:dyDescent="0.35">
      <c r="A45" t="s">
        <v>56</v>
      </c>
      <c r="B45" s="2">
        <v>46120.974683544293</v>
      </c>
      <c r="C45" t="s">
        <v>136</v>
      </c>
      <c r="D45" t="s">
        <v>175</v>
      </c>
      <c r="E45" t="s">
        <v>179</v>
      </c>
      <c r="F45" t="s">
        <v>183</v>
      </c>
      <c r="G45">
        <v>1</v>
      </c>
      <c r="H45">
        <v>1045</v>
      </c>
      <c r="I45">
        <v>0</v>
      </c>
      <c r="J45" t="s">
        <v>186</v>
      </c>
      <c r="K45">
        <v>1045</v>
      </c>
      <c r="L45">
        <v>785.57</v>
      </c>
      <c r="M45">
        <v>259.43</v>
      </c>
    </row>
    <row r="46" spans="1:13" x14ac:dyDescent="0.35">
      <c r="A46" t="s">
        <v>57</v>
      </c>
      <c r="B46" s="2">
        <v>46123.253164556947</v>
      </c>
      <c r="C46" t="s">
        <v>137</v>
      </c>
      <c r="D46" t="s">
        <v>175</v>
      </c>
      <c r="E46" t="s">
        <v>179</v>
      </c>
      <c r="G46">
        <v>1</v>
      </c>
      <c r="H46">
        <v>1372</v>
      </c>
      <c r="I46">
        <v>15</v>
      </c>
      <c r="J46" t="s">
        <v>185</v>
      </c>
      <c r="K46">
        <v>1166.2</v>
      </c>
      <c r="L46">
        <v>761.05</v>
      </c>
      <c r="M46">
        <v>405.15</v>
      </c>
    </row>
    <row r="47" spans="1:13" x14ac:dyDescent="0.35">
      <c r="A47" t="s">
        <v>58</v>
      </c>
      <c r="B47" s="2">
        <v>46125.531645569623</v>
      </c>
      <c r="C47" t="s">
        <v>138</v>
      </c>
      <c r="D47" t="s">
        <v>176</v>
      </c>
      <c r="E47" t="s">
        <v>178</v>
      </c>
      <c r="F47" t="s">
        <v>182</v>
      </c>
      <c r="G47">
        <v>2</v>
      </c>
      <c r="H47">
        <v>55317</v>
      </c>
      <c r="I47">
        <v>5</v>
      </c>
      <c r="J47" t="s">
        <v>185</v>
      </c>
      <c r="K47">
        <v>105102.3</v>
      </c>
      <c r="L47">
        <v>66646.81</v>
      </c>
      <c r="M47">
        <v>38455.49</v>
      </c>
    </row>
    <row r="48" spans="1:13" x14ac:dyDescent="0.35">
      <c r="A48" t="s">
        <v>59</v>
      </c>
      <c r="B48" s="2">
        <v>46127.81012658227</v>
      </c>
      <c r="C48" t="s">
        <v>139</v>
      </c>
      <c r="D48" t="s">
        <v>175</v>
      </c>
      <c r="E48" t="s">
        <v>179</v>
      </c>
      <c r="F48" t="s">
        <v>182</v>
      </c>
      <c r="G48">
        <v>2</v>
      </c>
      <c r="H48">
        <v>1098</v>
      </c>
      <c r="I48">
        <v>5</v>
      </c>
      <c r="J48" t="s">
        <v>189</v>
      </c>
      <c r="K48">
        <v>2086.1999999999998</v>
      </c>
      <c r="L48">
        <v>1561.49</v>
      </c>
      <c r="M48">
        <v>524.71</v>
      </c>
    </row>
    <row r="49" spans="1:13" x14ac:dyDescent="0.35">
      <c r="A49" t="s">
        <v>60</v>
      </c>
      <c r="B49" s="2">
        <v>46130.088607594931</v>
      </c>
      <c r="C49" t="s">
        <v>140</v>
      </c>
      <c r="D49" t="s">
        <v>173</v>
      </c>
      <c r="E49" t="s">
        <v>179</v>
      </c>
      <c r="F49" t="s">
        <v>180</v>
      </c>
      <c r="G49">
        <v>3</v>
      </c>
      <c r="H49">
        <v>2836</v>
      </c>
      <c r="I49">
        <v>10</v>
      </c>
      <c r="J49" t="s">
        <v>187</v>
      </c>
      <c r="K49">
        <v>7657.2</v>
      </c>
      <c r="L49">
        <v>4788.0600000000004</v>
      </c>
      <c r="M49">
        <v>2869.14</v>
      </c>
    </row>
    <row r="50" spans="1:13" x14ac:dyDescent="0.35">
      <c r="A50" t="s">
        <v>61</v>
      </c>
      <c r="B50" s="2">
        <v>46132.367088607592</v>
      </c>
      <c r="C50" t="s">
        <v>141</v>
      </c>
      <c r="D50" t="s">
        <v>175</v>
      </c>
      <c r="E50" t="s">
        <v>179</v>
      </c>
      <c r="F50" t="s">
        <v>182</v>
      </c>
      <c r="G50">
        <v>4</v>
      </c>
      <c r="H50">
        <v>1279</v>
      </c>
      <c r="I50">
        <v>5</v>
      </c>
      <c r="J50" t="s">
        <v>185</v>
      </c>
      <c r="K50">
        <v>4860.2</v>
      </c>
      <c r="L50">
        <v>3582.72</v>
      </c>
      <c r="M50">
        <v>1277.48</v>
      </c>
    </row>
    <row r="51" spans="1:13" x14ac:dyDescent="0.35">
      <c r="A51" t="s">
        <v>62</v>
      </c>
      <c r="B51" s="2">
        <v>46134.645569620247</v>
      </c>
      <c r="C51" t="s">
        <v>142</v>
      </c>
      <c r="D51" t="s">
        <v>172</v>
      </c>
      <c r="E51" t="s">
        <v>178</v>
      </c>
      <c r="F51" t="s">
        <v>180</v>
      </c>
      <c r="G51">
        <v>2</v>
      </c>
      <c r="H51">
        <v>14148</v>
      </c>
      <c r="I51">
        <v>10</v>
      </c>
      <c r="J51" t="s">
        <v>186</v>
      </c>
      <c r="K51">
        <v>25466.400000000001</v>
      </c>
      <c r="L51">
        <v>20578.02</v>
      </c>
      <c r="M51">
        <v>4888.38</v>
      </c>
    </row>
    <row r="52" spans="1:13" x14ac:dyDescent="0.35">
      <c r="A52" t="s">
        <v>63</v>
      </c>
      <c r="B52" s="2">
        <v>46136.924050632908</v>
      </c>
      <c r="C52" t="s">
        <v>143</v>
      </c>
      <c r="D52" t="s">
        <v>172</v>
      </c>
      <c r="E52" t="s">
        <v>178</v>
      </c>
      <c r="F52" t="s">
        <v>182</v>
      </c>
      <c r="G52">
        <v>1</v>
      </c>
      <c r="H52">
        <v>14296</v>
      </c>
      <c r="I52">
        <v>15</v>
      </c>
      <c r="J52" t="s">
        <v>189</v>
      </c>
      <c r="K52">
        <v>12151.6</v>
      </c>
      <c r="L52">
        <v>8932.58</v>
      </c>
      <c r="M52">
        <v>3219.02</v>
      </c>
    </row>
    <row r="53" spans="1:13" x14ac:dyDescent="0.35">
      <c r="A53" t="s">
        <v>64</v>
      </c>
      <c r="B53" s="2">
        <v>46139.202531645569</v>
      </c>
      <c r="C53" t="s">
        <v>144</v>
      </c>
      <c r="D53" t="s">
        <v>172</v>
      </c>
      <c r="E53" t="s">
        <v>178</v>
      </c>
      <c r="F53" t="s">
        <v>184</v>
      </c>
      <c r="G53">
        <v>4</v>
      </c>
      <c r="H53">
        <v>14101</v>
      </c>
      <c r="I53">
        <v>0</v>
      </c>
      <c r="J53" t="s">
        <v>186</v>
      </c>
      <c r="K53">
        <v>56404</v>
      </c>
      <c r="L53">
        <v>39349.35</v>
      </c>
      <c r="M53">
        <v>17054.650000000001</v>
      </c>
    </row>
    <row r="54" spans="1:13" x14ac:dyDescent="0.35">
      <c r="A54" t="s">
        <v>65</v>
      </c>
      <c r="B54" s="2">
        <v>46141.481012658223</v>
      </c>
      <c r="C54" t="s">
        <v>145</v>
      </c>
      <c r="D54" t="s">
        <v>172</v>
      </c>
      <c r="E54" t="s">
        <v>178</v>
      </c>
      <c r="F54" t="s">
        <v>182</v>
      </c>
      <c r="G54">
        <v>4</v>
      </c>
      <c r="H54">
        <v>13980</v>
      </c>
      <c r="I54">
        <v>0</v>
      </c>
      <c r="J54" t="s">
        <v>186</v>
      </c>
      <c r="K54">
        <v>55920</v>
      </c>
      <c r="L54">
        <v>41864.94</v>
      </c>
      <c r="M54">
        <v>14055.06</v>
      </c>
    </row>
    <row r="55" spans="1:13" x14ac:dyDescent="0.35">
      <c r="A55" t="s">
        <v>66</v>
      </c>
      <c r="B55" s="2">
        <v>46143.759493670877</v>
      </c>
      <c r="C55" t="s">
        <v>146</v>
      </c>
      <c r="D55" t="s">
        <v>173</v>
      </c>
      <c r="E55" t="s">
        <v>179</v>
      </c>
      <c r="F55" t="s">
        <v>180</v>
      </c>
      <c r="G55">
        <v>1</v>
      </c>
      <c r="H55">
        <v>3406</v>
      </c>
      <c r="I55">
        <v>15</v>
      </c>
      <c r="J55" t="s">
        <v>185</v>
      </c>
      <c r="K55">
        <v>2895.1</v>
      </c>
      <c r="L55">
        <v>2060.3000000000002</v>
      </c>
      <c r="M55">
        <v>834.8</v>
      </c>
    </row>
    <row r="56" spans="1:13" x14ac:dyDescent="0.35">
      <c r="A56" t="s">
        <v>67</v>
      </c>
      <c r="B56" s="2">
        <v>46146.037974683539</v>
      </c>
      <c r="C56" t="s">
        <v>147</v>
      </c>
      <c r="D56" t="s">
        <v>174</v>
      </c>
      <c r="E56" t="s">
        <v>179</v>
      </c>
      <c r="F56" t="s">
        <v>180</v>
      </c>
      <c r="G56">
        <v>2</v>
      </c>
      <c r="H56">
        <v>2098</v>
      </c>
      <c r="I56">
        <v>0</v>
      </c>
      <c r="J56" t="s">
        <v>189</v>
      </c>
      <c r="K56">
        <v>4196</v>
      </c>
      <c r="L56">
        <v>3059.4</v>
      </c>
      <c r="M56">
        <v>1136.5999999999999</v>
      </c>
    </row>
    <row r="57" spans="1:13" x14ac:dyDescent="0.35">
      <c r="A57" t="s">
        <v>68</v>
      </c>
      <c r="B57" s="2">
        <v>46148.316455696193</v>
      </c>
      <c r="C57" t="s">
        <v>148</v>
      </c>
      <c r="D57" t="s">
        <v>176</v>
      </c>
      <c r="E57" t="s">
        <v>178</v>
      </c>
      <c r="F57" t="s">
        <v>184</v>
      </c>
      <c r="G57">
        <v>1</v>
      </c>
      <c r="H57">
        <v>55499</v>
      </c>
      <c r="I57">
        <v>15</v>
      </c>
      <c r="J57" t="s">
        <v>190</v>
      </c>
      <c r="K57">
        <v>47174.15</v>
      </c>
      <c r="L57">
        <v>38130.53</v>
      </c>
      <c r="M57">
        <v>9043.6200000000008</v>
      </c>
    </row>
    <row r="58" spans="1:13" x14ac:dyDescent="0.35">
      <c r="A58" t="s">
        <v>69</v>
      </c>
      <c r="B58" s="2">
        <v>46150.594936708847</v>
      </c>
      <c r="C58" t="s">
        <v>149</v>
      </c>
      <c r="D58" t="s">
        <v>172</v>
      </c>
      <c r="E58" t="s">
        <v>178</v>
      </c>
      <c r="F58" t="s">
        <v>182</v>
      </c>
      <c r="G58">
        <v>4</v>
      </c>
      <c r="H58">
        <v>13915</v>
      </c>
      <c r="I58">
        <v>15</v>
      </c>
      <c r="J58" t="s">
        <v>187</v>
      </c>
      <c r="K58">
        <v>47311</v>
      </c>
      <c r="L58">
        <v>32986.199999999997</v>
      </c>
      <c r="M58">
        <v>14324.8</v>
      </c>
    </row>
    <row r="59" spans="1:13" x14ac:dyDescent="0.35">
      <c r="A59" t="s">
        <v>70</v>
      </c>
      <c r="B59" s="2">
        <v>46152.873417721523</v>
      </c>
      <c r="C59" t="s">
        <v>150</v>
      </c>
      <c r="D59" t="s">
        <v>175</v>
      </c>
      <c r="E59" t="s">
        <v>179</v>
      </c>
      <c r="F59" t="s">
        <v>182</v>
      </c>
      <c r="G59">
        <v>5</v>
      </c>
      <c r="H59">
        <v>1190</v>
      </c>
      <c r="I59">
        <v>15</v>
      </c>
      <c r="J59" t="s">
        <v>185</v>
      </c>
      <c r="K59">
        <v>5057.5</v>
      </c>
      <c r="L59">
        <v>4107.8900000000003</v>
      </c>
      <c r="M59">
        <v>949.61</v>
      </c>
    </row>
    <row r="60" spans="1:13" x14ac:dyDescent="0.35">
      <c r="A60" t="s">
        <v>71</v>
      </c>
      <c r="B60" s="2">
        <v>46155.15189873417</v>
      </c>
      <c r="C60" t="s">
        <v>151</v>
      </c>
      <c r="D60" t="s">
        <v>172</v>
      </c>
      <c r="E60" t="s">
        <v>178</v>
      </c>
      <c r="F60" t="s">
        <v>184</v>
      </c>
      <c r="G60">
        <v>5</v>
      </c>
      <c r="H60">
        <v>14052</v>
      </c>
      <c r="I60">
        <v>0</v>
      </c>
      <c r="J60" t="s">
        <v>185</v>
      </c>
      <c r="K60">
        <v>70260</v>
      </c>
      <c r="L60">
        <v>56283.19</v>
      </c>
      <c r="M60">
        <v>13976.81</v>
      </c>
    </row>
    <row r="61" spans="1:13" x14ac:dyDescent="0.35">
      <c r="A61" t="s">
        <v>72</v>
      </c>
      <c r="B61" s="2">
        <v>46157.430379746831</v>
      </c>
      <c r="C61" t="s">
        <v>152</v>
      </c>
      <c r="D61" t="s">
        <v>175</v>
      </c>
      <c r="E61" t="s">
        <v>179</v>
      </c>
      <c r="F61" t="s">
        <v>182</v>
      </c>
      <c r="G61">
        <v>3</v>
      </c>
      <c r="H61">
        <v>1160</v>
      </c>
      <c r="I61">
        <v>10</v>
      </c>
      <c r="J61" t="s">
        <v>189</v>
      </c>
      <c r="K61">
        <v>3132</v>
      </c>
      <c r="L61">
        <v>2064.48</v>
      </c>
      <c r="M61">
        <v>1067.52</v>
      </c>
    </row>
    <row r="62" spans="1:13" x14ac:dyDescent="0.35">
      <c r="A62" t="s">
        <v>73</v>
      </c>
      <c r="B62" s="2">
        <v>46159.708860759492</v>
      </c>
      <c r="C62" t="s">
        <v>153</v>
      </c>
      <c r="D62" t="s">
        <v>175</v>
      </c>
      <c r="E62" t="s">
        <v>179</v>
      </c>
      <c r="F62" t="s">
        <v>182</v>
      </c>
      <c r="G62">
        <v>1</v>
      </c>
      <c r="H62">
        <v>1255</v>
      </c>
      <c r="I62">
        <v>15</v>
      </c>
      <c r="J62" t="s">
        <v>187</v>
      </c>
      <c r="K62">
        <v>1066.75</v>
      </c>
      <c r="L62">
        <v>676.18</v>
      </c>
      <c r="M62">
        <v>390.57</v>
      </c>
    </row>
    <row r="63" spans="1:13" x14ac:dyDescent="0.35">
      <c r="A63" t="s">
        <v>74</v>
      </c>
      <c r="B63" s="2">
        <v>46161.987341772139</v>
      </c>
      <c r="C63" t="s">
        <v>154</v>
      </c>
      <c r="D63" t="s">
        <v>172</v>
      </c>
      <c r="E63" t="s">
        <v>178</v>
      </c>
      <c r="F63" t="s">
        <v>180</v>
      </c>
      <c r="G63">
        <v>1</v>
      </c>
      <c r="H63">
        <v>14122</v>
      </c>
      <c r="I63">
        <v>5</v>
      </c>
      <c r="J63" t="s">
        <v>187</v>
      </c>
      <c r="K63">
        <v>13415.9</v>
      </c>
      <c r="L63">
        <v>8588.26</v>
      </c>
      <c r="M63">
        <v>4827.6400000000003</v>
      </c>
    </row>
    <row r="64" spans="1:13" x14ac:dyDescent="0.35">
      <c r="A64" t="s">
        <v>75</v>
      </c>
      <c r="B64" s="2">
        <v>46164.265822784801</v>
      </c>
      <c r="C64" t="s">
        <v>155</v>
      </c>
      <c r="D64" t="s">
        <v>173</v>
      </c>
      <c r="E64" t="s">
        <v>179</v>
      </c>
      <c r="F64" t="s">
        <v>182</v>
      </c>
      <c r="G64">
        <v>3</v>
      </c>
      <c r="H64">
        <v>2927</v>
      </c>
      <c r="I64">
        <v>0</v>
      </c>
      <c r="J64" t="s">
        <v>187</v>
      </c>
      <c r="K64">
        <v>8781</v>
      </c>
      <c r="L64">
        <v>5476.22</v>
      </c>
      <c r="M64">
        <v>3304.78</v>
      </c>
    </row>
    <row r="65" spans="1:13" x14ac:dyDescent="0.35">
      <c r="A65" t="s">
        <v>76</v>
      </c>
      <c r="B65" s="2">
        <v>46166.544303797462</v>
      </c>
      <c r="C65" t="s">
        <v>156</v>
      </c>
      <c r="D65" t="s">
        <v>175</v>
      </c>
      <c r="E65" t="s">
        <v>179</v>
      </c>
      <c r="F65" t="s">
        <v>182</v>
      </c>
      <c r="G65">
        <v>3</v>
      </c>
      <c r="H65">
        <v>1017</v>
      </c>
      <c r="I65">
        <v>15</v>
      </c>
      <c r="J65" t="s">
        <v>186</v>
      </c>
      <c r="K65">
        <v>2593.35</v>
      </c>
      <c r="L65">
        <v>1656.86</v>
      </c>
      <c r="M65">
        <v>936.49</v>
      </c>
    </row>
    <row r="66" spans="1:13" x14ac:dyDescent="0.35">
      <c r="A66" t="s">
        <v>77</v>
      </c>
      <c r="B66" s="2">
        <v>46168.822784810123</v>
      </c>
      <c r="C66" t="s">
        <v>157</v>
      </c>
      <c r="D66" t="s">
        <v>175</v>
      </c>
      <c r="E66" t="s">
        <v>179</v>
      </c>
      <c r="F66" t="s">
        <v>184</v>
      </c>
      <c r="G66">
        <v>3</v>
      </c>
      <c r="H66">
        <v>1565</v>
      </c>
      <c r="I66">
        <v>15</v>
      </c>
      <c r="J66" t="s">
        <v>187</v>
      </c>
      <c r="K66">
        <v>3990.75</v>
      </c>
      <c r="L66">
        <v>3019.41</v>
      </c>
      <c r="M66">
        <v>971.34</v>
      </c>
    </row>
    <row r="67" spans="1:13" x14ac:dyDescent="0.35">
      <c r="A67" t="s">
        <v>78</v>
      </c>
      <c r="B67" s="2">
        <v>46171.101265822777</v>
      </c>
      <c r="C67" t="s">
        <v>158</v>
      </c>
      <c r="D67" t="s">
        <v>172</v>
      </c>
      <c r="E67" t="s">
        <v>178</v>
      </c>
      <c r="F67" t="s">
        <v>184</v>
      </c>
      <c r="G67">
        <v>4</v>
      </c>
      <c r="H67">
        <v>14369</v>
      </c>
      <c r="I67">
        <v>5</v>
      </c>
      <c r="J67" t="s">
        <v>186</v>
      </c>
      <c r="K67">
        <v>54602.2</v>
      </c>
      <c r="L67">
        <v>34630.78</v>
      </c>
      <c r="M67">
        <v>19971.419999999998</v>
      </c>
    </row>
    <row r="68" spans="1:13" x14ac:dyDescent="0.35">
      <c r="A68" t="s">
        <v>79</v>
      </c>
      <c r="B68" s="2">
        <v>46173.379746835439</v>
      </c>
      <c r="C68" t="s">
        <v>159</v>
      </c>
      <c r="D68" t="s">
        <v>175</v>
      </c>
      <c r="E68" t="s">
        <v>179</v>
      </c>
      <c r="F68" t="s">
        <v>183</v>
      </c>
      <c r="G68">
        <v>1</v>
      </c>
      <c r="I68">
        <v>10</v>
      </c>
      <c r="J68" t="s">
        <v>189</v>
      </c>
      <c r="K68">
        <v>1189.8</v>
      </c>
      <c r="L68">
        <v>813.58</v>
      </c>
      <c r="M68">
        <v>376.22</v>
      </c>
    </row>
    <row r="69" spans="1:13" x14ac:dyDescent="0.35">
      <c r="A69" t="s">
        <v>80</v>
      </c>
      <c r="B69" s="2">
        <v>46175.658227848093</v>
      </c>
      <c r="C69" t="s">
        <v>160</v>
      </c>
      <c r="D69" t="s">
        <v>175</v>
      </c>
      <c r="E69" t="s">
        <v>179</v>
      </c>
      <c r="F69" t="s">
        <v>180</v>
      </c>
      <c r="G69">
        <v>4</v>
      </c>
      <c r="H69">
        <v>1685</v>
      </c>
      <c r="I69">
        <v>10</v>
      </c>
      <c r="J69" t="s">
        <v>186</v>
      </c>
      <c r="K69">
        <v>6066</v>
      </c>
      <c r="L69">
        <v>4785.92</v>
      </c>
      <c r="M69">
        <v>1280.08</v>
      </c>
    </row>
    <row r="70" spans="1:13" x14ac:dyDescent="0.35">
      <c r="A70" t="s">
        <v>81</v>
      </c>
      <c r="B70" s="2">
        <v>46177.936708860747</v>
      </c>
      <c r="C70" t="s">
        <v>161</v>
      </c>
      <c r="D70" t="s">
        <v>172</v>
      </c>
      <c r="E70" t="s">
        <v>178</v>
      </c>
      <c r="F70" t="s">
        <v>182</v>
      </c>
      <c r="G70">
        <v>3</v>
      </c>
      <c r="H70">
        <v>14425</v>
      </c>
      <c r="I70">
        <v>10</v>
      </c>
      <c r="J70" t="s">
        <v>189</v>
      </c>
      <c r="K70">
        <v>38947.5</v>
      </c>
      <c r="L70">
        <v>24328.73</v>
      </c>
      <c r="M70">
        <v>14618.77</v>
      </c>
    </row>
    <row r="71" spans="1:13" x14ac:dyDescent="0.35">
      <c r="A71" t="s">
        <v>82</v>
      </c>
      <c r="B71" s="2">
        <v>46180.215189873423</v>
      </c>
      <c r="C71" t="s">
        <v>162</v>
      </c>
      <c r="D71" t="s">
        <v>172</v>
      </c>
      <c r="E71" t="s">
        <v>178</v>
      </c>
      <c r="F71" t="s">
        <v>182</v>
      </c>
      <c r="G71">
        <v>1</v>
      </c>
      <c r="H71">
        <v>14087</v>
      </c>
      <c r="I71">
        <v>15</v>
      </c>
      <c r="J71" t="s">
        <v>187</v>
      </c>
      <c r="K71">
        <v>11973.95</v>
      </c>
      <c r="L71">
        <v>9374.33</v>
      </c>
      <c r="M71">
        <v>2599.62</v>
      </c>
    </row>
    <row r="72" spans="1:13" x14ac:dyDescent="0.35">
      <c r="A72" t="s">
        <v>83</v>
      </c>
      <c r="B72" s="2">
        <v>46182.493670886062</v>
      </c>
      <c r="C72" t="s">
        <v>103</v>
      </c>
      <c r="D72" t="s">
        <v>176</v>
      </c>
      <c r="E72" t="s">
        <v>178</v>
      </c>
      <c r="F72" t="s">
        <v>183</v>
      </c>
      <c r="G72">
        <v>4</v>
      </c>
      <c r="H72">
        <v>55462</v>
      </c>
      <c r="I72">
        <v>15</v>
      </c>
      <c r="J72" t="s">
        <v>187</v>
      </c>
      <c r="K72">
        <v>188570.8</v>
      </c>
      <c r="L72">
        <v>127543.81</v>
      </c>
      <c r="M72">
        <v>61026.99</v>
      </c>
    </row>
    <row r="73" spans="1:13" x14ac:dyDescent="0.35">
      <c r="A73" t="s">
        <v>84</v>
      </c>
      <c r="B73" s="2">
        <v>46184.772151898716</v>
      </c>
      <c r="C73" t="s">
        <v>163</v>
      </c>
      <c r="D73" t="s">
        <v>173</v>
      </c>
      <c r="E73" t="s">
        <v>179</v>
      </c>
      <c r="F73" t="s">
        <v>182</v>
      </c>
      <c r="G73">
        <v>4</v>
      </c>
      <c r="H73">
        <v>3438</v>
      </c>
      <c r="I73">
        <v>15</v>
      </c>
      <c r="J73" t="s">
        <v>189</v>
      </c>
      <c r="K73">
        <v>11689.2</v>
      </c>
      <c r="L73">
        <v>7523.55</v>
      </c>
      <c r="M73">
        <v>4165.6499999999996</v>
      </c>
    </row>
    <row r="74" spans="1:13" x14ac:dyDescent="0.35">
      <c r="A74" t="s">
        <v>85</v>
      </c>
      <c r="B74" s="2">
        <v>46187.050632911392</v>
      </c>
      <c r="C74" t="s">
        <v>164</v>
      </c>
      <c r="D74" t="s">
        <v>173</v>
      </c>
      <c r="E74" t="s">
        <v>179</v>
      </c>
      <c r="F74" t="s">
        <v>180</v>
      </c>
      <c r="G74">
        <v>3</v>
      </c>
      <c r="H74">
        <v>2954</v>
      </c>
      <c r="I74">
        <v>0</v>
      </c>
      <c r="J74" t="s">
        <v>185</v>
      </c>
      <c r="K74">
        <v>8862</v>
      </c>
      <c r="L74">
        <v>6729.34</v>
      </c>
      <c r="M74">
        <v>2132.66</v>
      </c>
    </row>
    <row r="75" spans="1:13" x14ac:dyDescent="0.35">
      <c r="A75" t="s">
        <v>86</v>
      </c>
      <c r="B75" s="2">
        <v>46189.329113924039</v>
      </c>
      <c r="C75" t="s">
        <v>165</v>
      </c>
      <c r="D75" t="s">
        <v>175</v>
      </c>
      <c r="E75" t="s">
        <v>179</v>
      </c>
      <c r="F75" t="s">
        <v>183</v>
      </c>
      <c r="G75">
        <v>1</v>
      </c>
      <c r="H75">
        <v>1489</v>
      </c>
      <c r="I75">
        <v>5</v>
      </c>
      <c r="J75" t="s">
        <v>189</v>
      </c>
      <c r="K75">
        <v>1414.55</v>
      </c>
      <c r="L75">
        <v>1054.96</v>
      </c>
      <c r="M75">
        <v>359.59</v>
      </c>
    </row>
    <row r="76" spans="1:13" x14ac:dyDescent="0.35">
      <c r="A76" t="s">
        <v>87</v>
      </c>
      <c r="B76" s="2">
        <v>46191.6075949367</v>
      </c>
      <c r="C76" t="s">
        <v>166</v>
      </c>
      <c r="D76" t="s">
        <v>173</v>
      </c>
      <c r="E76" t="s">
        <v>179</v>
      </c>
      <c r="F76" t="s">
        <v>180</v>
      </c>
      <c r="G76">
        <v>3</v>
      </c>
      <c r="H76">
        <v>3185</v>
      </c>
      <c r="I76">
        <v>15</v>
      </c>
      <c r="J76" t="s">
        <v>185</v>
      </c>
      <c r="K76">
        <v>8121.75</v>
      </c>
      <c r="L76">
        <v>6460.81</v>
      </c>
      <c r="M76">
        <v>1660.94</v>
      </c>
    </row>
    <row r="77" spans="1:13" x14ac:dyDescent="0.35">
      <c r="A77" t="s">
        <v>88</v>
      </c>
      <c r="B77" s="2">
        <v>46193.886075949362</v>
      </c>
      <c r="C77" t="s">
        <v>167</v>
      </c>
      <c r="D77" t="s">
        <v>175</v>
      </c>
      <c r="E77" t="s">
        <v>179</v>
      </c>
      <c r="F77" t="s">
        <v>183</v>
      </c>
      <c r="G77">
        <v>1</v>
      </c>
      <c r="H77">
        <v>1103</v>
      </c>
      <c r="I77">
        <v>5</v>
      </c>
      <c r="J77" t="s">
        <v>186</v>
      </c>
      <c r="K77">
        <v>1047.8499999999999</v>
      </c>
      <c r="L77">
        <v>803.72</v>
      </c>
      <c r="M77">
        <v>244.13</v>
      </c>
    </row>
    <row r="78" spans="1:13" x14ac:dyDescent="0.35">
      <c r="A78" t="s">
        <v>89</v>
      </c>
      <c r="B78" s="2">
        <v>46196.164556962023</v>
      </c>
      <c r="C78" t="s">
        <v>168</v>
      </c>
      <c r="D78" t="s">
        <v>176</v>
      </c>
      <c r="E78" t="s">
        <v>178</v>
      </c>
      <c r="F78" t="s">
        <v>183</v>
      </c>
      <c r="G78">
        <v>5</v>
      </c>
      <c r="H78">
        <v>55192</v>
      </c>
      <c r="I78">
        <v>5</v>
      </c>
      <c r="J78" t="s">
        <v>186</v>
      </c>
      <c r="K78">
        <v>262162</v>
      </c>
      <c r="L78">
        <v>204668.87</v>
      </c>
      <c r="M78">
        <v>57493.13</v>
      </c>
    </row>
    <row r="79" spans="1:13" x14ac:dyDescent="0.35">
      <c r="A79" t="s">
        <v>90</v>
      </c>
      <c r="B79" s="2">
        <v>46198.443037974677</v>
      </c>
      <c r="C79" t="s">
        <v>169</v>
      </c>
      <c r="D79" t="s">
        <v>172</v>
      </c>
      <c r="E79" t="s">
        <v>178</v>
      </c>
      <c r="F79" t="s">
        <v>184</v>
      </c>
      <c r="G79">
        <v>2</v>
      </c>
      <c r="H79">
        <v>14045</v>
      </c>
      <c r="I79">
        <v>10</v>
      </c>
      <c r="J79" t="s">
        <v>186</v>
      </c>
      <c r="K79">
        <v>25281</v>
      </c>
      <c r="L79">
        <v>17100.240000000002</v>
      </c>
      <c r="M79">
        <v>8180.76</v>
      </c>
    </row>
    <row r="80" spans="1:13" x14ac:dyDescent="0.35">
      <c r="A80" t="s">
        <v>91</v>
      </c>
      <c r="B80" s="2">
        <v>46200.721518987339</v>
      </c>
      <c r="C80" t="s">
        <v>170</v>
      </c>
      <c r="D80" t="s">
        <v>172</v>
      </c>
      <c r="E80" t="s">
        <v>178</v>
      </c>
      <c r="F80" t="s">
        <v>180</v>
      </c>
      <c r="G80">
        <v>2</v>
      </c>
      <c r="H80">
        <v>13975</v>
      </c>
      <c r="I80">
        <v>0</v>
      </c>
      <c r="J80" t="s">
        <v>187</v>
      </c>
      <c r="K80">
        <v>27950</v>
      </c>
      <c r="L80">
        <v>18320.89</v>
      </c>
      <c r="M80">
        <v>9629.11</v>
      </c>
    </row>
    <row r="81" spans="1:13" x14ac:dyDescent="0.35">
      <c r="A81" t="s">
        <v>92</v>
      </c>
      <c r="B81" s="2">
        <v>46203</v>
      </c>
      <c r="C81" t="s">
        <v>171</v>
      </c>
      <c r="D81" t="s">
        <v>172</v>
      </c>
      <c r="E81" t="s">
        <v>178</v>
      </c>
      <c r="F81" t="s">
        <v>182</v>
      </c>
      <c r="G81">
        <v>2</v>
      </c>
      <c r="H81">
        <v>13838</v>
      </c>
      <c r="I81">
        <v>15</v>
      </c>
      <c r="J81" t="s">
        <v>186</v>
      </c>
      <c r="K81">
        <v>23524.6</v>
      </c>
      <c r="L81">
        <v>18116.830000000002</v>
      </c>
      <c r="M81">
        <v>5407.77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F5B6-5CB8-484E-8204-F2F4ABA24F22}">
  <dimension ref="A3:P83"/>
  <sheetViews>
    <sheetView workbookViewId="0">
      <selection activeCell="B2" sqref="B2"/>
    </sheetView>
  </sheetViews>
  <sheetFormatPr defaultRowHeight="14.5" x14ac:dyDescent="0.35"/>
  <cols>
    <col min="1" max="1" width="12.453125" customWidth="1"/>
    <col min="2" max="2" width="17.453125" customWidth="1"/>
    <col min="3" max="3" width="13.90625" customWidth="1"/>
    <col min="4" max="4" width="13.36328125" customWidth="1"/>
    <col min="5" max="5" width="14.81640625" customWidth="1"/>
    <col min="6" max="6" width="12" customWidth="1"/>
    <col min="7" max="7" width="10.90625" customWidth="1"/>
    <col min="8" max="8" width="12.6328125" customWidth="1"/>
    <col min="9" max="9" width="13.36328125" customWidth="1"/>
    <col min="10" max="10" width="16.1796875" customWidth="1"/>
    <col min="11" max="11" width="12.1796875" customWidth="1"/>
    <col min="12" max="12" width="10.7265625" customWidth="1"/>
    <col min="13" max="15" width="12.36328125" customWidth="1"/>
    <col min="16" max="16" width="18.54296875" customWidth="1"/>
  </cols>
  <sheetData>
    <row r="3" spans="1:16" x14ac:dyDescent="0.35">
      <c r="A3" s="1" t="s">
        <v>0</v>
      </c>
      <c r="B3" s="3" t="s">
        <v>1</v>
      </c>
      <c r="C3" s="1" t="s">
        <v>2</v>
      </c>
      <c r="D3" s="1" t="s">
        <v>3</v>
      </c>
      <c r="E3" s="1" t="s">
        <v>4</v>
      </c>
      <c r="F3" s="1" t="s">
        <v>5</v>
      </c>
      <c r="G3" s="1" t="s">
        <v>6</v>
      </c>
      <c r="H3" s="1" t="s">
        <v>7</v>
      </c>
      <c r="I3" s="1" t="s">
        <v>8</v>
      </c>
      <c r="J3" s="1" t="s">
        <v>9</v>
      </c>
      <c r="K3" s="1" t="s">
        <v>10</v>
      </c>
      <c r="L3" s="1" t="s">
        <v>11</v>
      </c>
      <c r="M3" s="1" t="s">
        <v>12</v>
      </c>
      <c r="N3" s="1" t="s">
        <v>192</v>
      </c>
      <c r="O3" s="1" t="s">
        <v>193</v>
      </c>
      <c r="P3" s="1" t="s">
        <v>194</v>
      </c>
    </row>
    <row r="4" spans="1:16" x14ac:dyDescent="0.35">
      <c r="A4" t="s">
        <v>13</v>
      </c>
      <c r="B4" s="4">
        <v>46023</v>
      </c>
      <c r="C4" t="s">
        <v>93</v>
      </c>
      <c r="D4" t="s">
        <v>172</v>
      </c>
      <c r="E4" t="s">
        <v>178</v>
      </c>
      <c r="F4" t="s">
        <v>180</v>
      </c>
      <c r="G4">
        <v>3</v>
      </c>
      <c r="H4">
        <v>13962</v>
      </c>
      <c r="I4">
        <v>0</v>
      </c>
      <c r="J4" t="s">
        <v>185</v>
      </c>
      <c r="K4">
        <v>41886</v>
      </c>
      <c r="L4">
        <v>28238.14</v>
      </c>
      <c r="M4">
        <v>13647.86</v>
      </c>
      <c r="N4" t="s">
        <v>195</v>
      </c>
      <c r="O4">
        <v>1</v>
      </c>
      <c r="P4" s="5">
        <v>0.32583345270496111</v>
      </c>
    </row>
    <row r="5" spans="1:16" x14ac:dyDescent="0.35">
      <c r="A5" t="s">
        <v>14</v>
      </c>
      <c r="B5" s="4">
        <v>46025.278481012647</v>
      </c>
      <c r="C5" t="s">
        <v>94</v>
      </c>
      <c r="D5" t="s">
        <v>173</v>
      </c>
      <c r="E5" t="s">
        <v>179</v>
      </c>
      <c r="F5" t="s">
        <v>180</v>
      </c>
      <c r="G5">
        <v>1</v>
      </c>
      <c r="H5">
        <v>3480</v>
      </c>
      <c r="I5">
        <v>5</v>
      </c>
      <c r="J5" t="s">
        <v>186</v>
      </c>
      <c r="K5">
        <v>3306</v>
      </c>
      <c r="L5">
        <v>2339.9699999999998</v>
      </c>
      <c r="M5">
        <v>966.03</v>
      </c>
      <c r="N5" t="s">
        <v>195</v>
      </c>
      <c r="O5">
        <v>1</v>
      </c>
      <c r="P5" s="5">
        <v>0.29220508166969145</v>
      </c>
    </row>
    <row r="6" spans="1:16" x14ac:dyDescent="0.35">
      <c r="A6" t="s">
        <v>15</v>
      </c>
      <c r="B6" s="4">
        <v>46027.556962025323</v>
      </c>
      <c r="C6" t="s">
        <v>95</v>
      </c>
      <c r="D6" t="s">
        <v>174</v>
      </c>
      <c r="E6" t="s">
        <v>179</v>
      </c>
      <c r="F6" t="s">
        <v>180</v>
      </c>
      <c r="G6">
        <v>2</v>
      </c>
      <c r="H6">
        <v>2160</v>
      </c>
      <c r="I6">
        <v>10</v>
      </c>
      <c r="J6" t="s">
        <v>185</v>
      </c>
      <c r="K6">
        <v>3888</v>
      </c>
      <c r="L6">
        <v>2471.5700000000002</v>
      </c>
      <c r="M6">
        <v>1416.43</v>
      </c>
      <c r="N6" t="s">
        <v>195</v>
      </c>
      <c r="O6">
        <v>1</v>
      </c>
      <c r="P6" s="5">
        <v>0.36430812757201647</v>
      </c>
    </row>
    <row r="7" spans="1:16" x14ac:dyDescent="0.35">
      <c r="A7" t="s">
        <v>16</v>
      </c>
      <c r="B7" s="4">
        <v>46029.835443037977</v>
      </c>
      <c r="C7" t="s">
        <v>96</v>
      </c>
      <c r="D7" t="s">
        <v>173</v>
      </c>
      <c r="E7" t="s">
        <v>179</v>
      </c>
      <c r="F7" t="s">
        <v>184</v>
      </c>
      <c r="G7">
        <v>2</v>
      </c>
      <c r="H7">
        <v>3379</v>
      </c>
      <c r="I7">
        <v>5</v>
      </c>
      <c r="J7" t="s">
        <v>185</v>
      </c>
      <c r="K7">
        <v>6420.1</v>
      </c>
      <c r="L7">
        <v>4013.01</v>
      </c>
      <c r="M7">
        <v>2407.09</v>
      </c>
      <c r="N7" t="s">
        <v>195</v>
      </c>
      <c r="O7">
        <v>1</v>
      </c>
      <c r="P7" s="5">
        <v>0.37493029703587172</v>
      </c>
    </row>
    <row r="8" spans="1:16" x14ac:dyDescent="0.35">
      <c r="A8" t="s">
        <v>17</v>
      </c>
      <c r="B8" s="4">
        <v>46032.113924050624</v>
      </c>
      <c r="C8" t="s">
        <v>97</v>
      </c>
      <c r="D8" t="s">
        <v>173</v>
      </c>
      <c r="E8" t="s">
        <v>179</v>
      </c>
      <c r="F8" t="s">
        <v>180</v>
      </c>
      <c r="G8">
        <v>4</v>
      </c>
      <c r="H8">
        <v>3197</v>
      </c>
      <c r="I8">
        <v>10</v>
      </c>
      <c r="J8" t="s">
        <v>186</v>
      </c>
      <c r="K8">
        <v>11509.2</v>
      </c>
      <c r="L8">
        <v>9351.57</v>
      </c>
      <c r="M8">
        <v>2157.63</v>
      </c>
      <c r="N8" t="s">
        <v>195</v>
      </c>
      <c r="O8">
        <v>1</v>
      </c>
      <c r="P8" s="5">
        <v>0.18747002398081536</v>
      </c>
    </row>
    <row r="9" spans="1:16" x14ac:dyDescent="0.35">
      <c r="A9" t="s">
        <v>18</v>
      </c>
      <c r="B9" s="4">
        <v>46034.392405063278</v>
      </c>
      <c r="C9" t="s">
        <v>98</v>
      </c>
      <c r="D9" t="s">
        <v>175</v>
      </c>
      <c r="E9" t="s">
        <v>179</v>
      </c>
      <c r="F9" t="s">
        <v>180</v>
      </c>
      <c r="G9">
        <v>5</v>
      </c>
      <c r="H9">
        <v>1276</v>
      </c>
      <c r="I9">
        <v>5</v>
      </c>
      <c r="J9" t="s">
        <v>187</v>
      </c>
      <c r="K9">
        <v>6061</v>
      </c>
      <c r="L9">
        <v>4771.2</v>
      </c>
      <c r="M9">
        <v>1289.8</v>
      </c>
      <c r="N9" t="s">
        <v>195</v>
      </c>
      <c r="O9">
        <v>1</v>
      </c>
      <c r="P9" s="5">
        <v>0.21280316779409339</v>
      </c>
    </row>
    <row r="10" spans="1:16" x14ac:dyDescent="0.35">
      <c r="A10" t="s">
        <v>19</v>
      </c>
      <c r="B10" s="4">
        <v>46036.670886075954</v>
      </c>
      <c r="C10" t="s">
        <v>99</v>
      </c>
      <c r="D10" t="s">
        <v>174</v>
      </c>
      <c r="E10" t="s">
        <v>179</v>
      </c>
      <c r="F10" t="s">
        <v>180</v>
      </c>
      <c r="G10">
        <v>1</v>
      </c>
      <c r="H10">
        <v>2503</v>
      </c>
      <c r="I10">
        <v>0</v>
      </c>
      <c r="J10" t="s">
        <v>186</v>
      </c>
      <c r="K10">
        <v>2503</v>
      </c>
      <c r="L10">
        <v>1900.26</v>
      </c>
      <c r="M10">
        <v>602.74</v>
      </c>
      <c r="N10" t="s">
        <v>195</v>
      </c>
      <c r="O10">
        <v>1</v>
      </c>
      <c r="P10" s="5">
        <v>0.24080703156212546</v>
      </c>
    </row>
    <row r="11" spans="1:16" x14ac:dyDescent="0.35">
      <c r="A11" t="s">
        <v>20</v>
      </c>
      <c r="B11" s="4">
        <v>46038.9493670886</v>
      </c>
      <c r="C11" t="s">
        <v>100</v>
      </c>
      <c r="D11" t="s">
        <v>174</v>
      </c>
      <c r="E11" t="s">
        <v>179</v>
      </c>
      <c r="F11" t="s">
        <v>182</v>
      </c>
      <c r="G11">
        <v>1</v>
      </c>
      <c r="H11">
        <v>2391</v>
      </c>
      <c r="I11">
        <v>15</v>
      </c>
      <c r="J11" t="s">
        <v>187</v>
      </c>
      <c r="K11">
        <v>2032.35</v>
      </c>
      <c r="L11">
        <v>1426.28</v>
      </c>
      <c r="M11">
        <v>606.07000000000005</v>
      </c>
      <c r="N11" t="s">
        <v>195</v>
      </c>
      <c r="O11">
        <v>1</v>
      </c>
      <c r="P11" s="5">
        <v>0.2982114301178439</v>
      </c>
    </row>
    <row r="12" spans="1:16" x14ac:dyDescent="0.35">
      <c r="A12" t="s">
        <v>21</v>
      </c>
      <c r="B12" s="4">
        <v>46041.227848101262</v>
      </c>
      <c r="C12" t="s">
        <v>101</v>
      </c>
      <c r="D12" t="s">
        <v>174</v>
      </c>
      <c r="E12" t="s">
        <v>179</v>
      </c>
      <c r="F12" t="s">
        <v>180</v>
      </c>
      <c r="G12">
        <v>3</v>
      </c>
      <c r="H12">
        <v>2134</v>
      </c>
      <c r="I12">
        <v>0</v>
      </c>
      <c r="J12" t="s">
        <v>186</v>
      </c>
      <c r="K12">
        <v>6402</v>
      </c>
      <c r="L12">
        <v>4191.13</v>
      </c>
      <c r="M12">
        <v>2210.87</v>
      </c>
      <c r="N12" t="s">
        <v>195</v>
      </c>
      <c r="O12">
        <v>1</v>
      </c>
      <c r="P12" s="5">
        <v>0.34534051858794124</v>
      </c>
    </row>
    <row r="13" spans="1:16" x14ac:dyDescent="0.35">
      <c r="A13" t="s">
        <v>22</v>
      </c>
      <c r="B13" s="4">
        <v>46043.506329113923</v>
      </c>
      <c r="C13" t="s">
        <v>102</v>
      </c>
      <c r="D13" t="s">
        <v>173</v>
      </c>
      <c r="E13" t="s">
        <v>179</v>
      </c>
      <c r="F13" t="s">
        <v>183</v>
      </c>
      <c r="G13">
        <v>2</v>
      </c>
      <c r="H13">
        <v>2994</v>
      </c>
      <c r="I13">
        <v>15</v>
      </c>
      <c r="J13" t="s">
        <v>185</v>
      </c>
      <c r="K13">
        <v>5089.8</v>
      </c>
      <c r="L13">
        <v>3314.92</v>
      </c>
      <c r="M13">
        <v>1774.88</v>
      </c>
      <c r="N13" t="s">
        <v>195</v>
      </c>
      <c r="O13">
        <v>1</v>
      </c>
      <c r="P13" s="5">
        <v>0.34871311249950881</v>
      </c>
    </row>
    <row r="14" spans="1:16" x14ac:dyDescent="0.35">
      <c r="A14" t="s">
        <v>23</v>
      </c>
      <c r="B14" s="4">
        <v>46045.784810126577</v>
      </c>
      <c r="C14" t="s">
        <v>103</v>
      </c>
      <c r="D14" t="s">
        <v>172</v>
      </c>
      <c r="E14" t="s">
        <v>178</v>
      </c>
      <c r="F14" t="s">
        <v>180</v>
      </c>
      <c r="G14">
        <v>5</v>
      </c>
      <c r="H14">
        <v>14200</v>
      </c>
      <c r="I14">
        <v>5</v>
      </c>
      <c r="J14" t="s">
        <v>185</v>
      </c>
      <c r="K14">
        <v>67450</v>
      </c>
      <c r="L14">
        <v>45194.78</v>
      </c>
      <c r="M14">
        <v>22255.22</v>
      </c>
      <c r="N14" t="s">
        <v>195</v>
      </c>
      <c r="O14">
        <v>1</v>
      </c>
      <c r="P14" s="5">
        <v>0.329951371386212</v>
      </c>
    </row>
    <row r="15" spans="1:16" x14ac:dyDescent="0.35">
      <c r="A15" t="s">
        <v>24</v>
      </c>
      <c r="B15" s="4">
        <v>46048.063291139239</v>
      </c>
      <c r="C15" t="s">
        <v>104</v>
      </c>
      <c r="D15" t="s">
        <v>174</v>
      </c>
      <c r="E15" t="s">
        <v>179</v>
      </c>
      <c r="F15" t="s">
        <v>183</v>
      </c>
      <c r="G15">
        <v>4</v>
      </c>
      <c r="H15">
        <v>2639</v>
      </c>
      <c r="I15">
        <v>10</v>
      </c>
      <c r="J15" t="s">
        <v>189</v>
      </c>
      <c r="K15">
        <v>9500.4</v>
      </c>
      <c r="L15">
        <v>6933.82</v>
      </c>
      <c r="M15">
        <v>2566.58</v>
      </c>
      <c r="N15" t="s">
        <v>195</v>
      </c>
      <c r="O15">
        <v>1</v>
      </c>
      <c r="P15" s="5">
        <v>0.27015494084459601</v>
      </c>
    </row>
    <row r="16" spans="1:16" x14ac:dyDescent="0.35">
      <c r="A16" t="s">
        <v>25</v>
      </c>
      <c r="B16" s="4">
        <v>46050.3417721519</v>
      </c>
      <c r="C16" t="s">
        <v>105</v>
      </c>
      <c r="D16" t="s">
        <v>173</v>
      </c>
      <c r="E16" t="s">
        <v>179</v>
      </c>
      <c r="F16" t="s">
        <v>183</v>
      </c>
      <c r="G16">
        <v>2</v>
      </c>
      <c r="H16">
        <v>2832</v>
      </c>
      <c r="I16">
        <v>0</v>
      </c>
      <c r="J16" t="s">
        <v>187</v>
      </c>
      <c r="K16">
        <v>5664</v>
      </c>
      <c r="L16">
        <v>4321.17</v>
      </c>
      <c r="M16">
        <v>1342.83</v>
      </c>
      <c r="N16" t="s">
        <v>195</v>
      </c>
      <c r="O16">
        <v>1</v>
      </c>
      <c r="P16" s="5">
        <v>0.23708156779661016</v>
      </c>
    </row>
    <row r="17" spans="1:16" x14ac:dyDescent="0.35">
      <c r="A17" t="s">
        <v>26</v>
      </c>
      <c r="B17" s="4">
        <v>46052.620253164547</v>
      </c>
      <c r="C17" t="s">
        <v>106</v>
      </c>
      <c r="D17" t="s">
        <v>175</v>
      </c>
      <c r="E17" t="s">
        <v>179</v>
      </c>
      <c r="F17" t="s">
        <v>183</v>
      </c>
      <c r="G17">
        <v>4</v>
      </c>
      <c r="H17">
        <v>1687</v>
      </c>
      <c r="I17">
        <v>15</v>
      </c>
      <c r="J17" t="s">
        <v>189</v>
      </c>
      <c r="K17">
        <v>5735.8</v>
      </c>
      <c r="L17">
        <v>4313.55</v>
      </c>
      <c r="M17">
        <v>1422.25</v>
      </c>
      <c r="N17" t="s">
        <v>195</v>
      </c>
      <c r="O17">
        <v>1</v>
      </c>
      <c r="P17" s="5">
        <v>0.24796017992259142</v>
      </c>
    </row>
    <row r="18" spans="1:16" x14ac:dyDescent="0.35">
      <c r="A18" t="s">
        <v>27</v>
      </c>
      <c r="B18" s="4">
        <v>46054.898734177208</v>
      </c>
      <c r="C18" t="s">
        <v>107</v>
      </c>
      <c r="D18" t="s">
        <v>172</v>
      </c>
      <c r="E18" t="s">
        <v>178</v>
      </c>
      <c r="F18" t="s">
        <v>182</v>
      </c>
      <c r="G18">
        <v>3</v>
      </c>
      <c r="H18">
        <v>14259</v>
      </c>
      <c r="I18">
        <v>0</v>
      </c>
      <c r="J18" t="s">
        <v>189</v>
      </c>
      <c r="K18">
        <v>42777</v>
      </c>
      <c r="L18">
        <v>28916.69</v>
      </c>
      <c r="M18">
        <v>13860.31</v>
      </c>
      <c r="N18" t="s">
        <v>196</v>
      </c>
      <c r="O18">
        <v>2</v>
      </c>
      <c r="P18" s="5">
        <v>0.32401313790120856</v>
      </c>
    </row>
    <row r="19" spans="1:16" x14ac:dyDescent="0.35">
      <c r="A19" t="s">
        <v>28</v>
      </c>
      <c r="B19" s="4">
        <v>46057.177215189869</v>
      </c>
      <c r="C19" t="s">
        <v>191</v>
      </c>
      <c r="D19" t="s">
        <v>175</v>
      </c>
      <c r="E19" t="s">
        <v>179</v>
      </c>
      <c r="F19" t="s">
        <v>182</v>
      </c>
      <c r="G19">
        <v>3</v>
      </c>
      <c r="H19">
        <v>1469</v>
      </c>
      <c r="I19">
        <v>15</v>
      </c>
      <c r="J19" t="s">
        <v>186</v>
      </c>
      <c r="K19">
        <v>3745.95</v>
      </c>
      <c r="L19">
        <v>3037.86</v>
      </c>
      <c r="M19">
        <v>708.09</v>
      </c>
      <c r="N19" t="s">
        <v>196</v>
      </c>
      <c r="O19">
        <v>2</v>
      </c>
      <c r="P19" s="5">
        <v>0.18902815040243465</v>
      </c>
    </row>
    <row r="20" spans="1:16" x14ac:dyDescent="0.35">
      <c r="A20" t="s">
        <v>29</v>
      </c>
      <c r="B20" s="4">
        <v>46059.455696202524</v>
      </c>
      <c r="C20" t="s">
        <v>109</v>
      </c>
      <c r="D20" t="s">
        <v>172</v>
      </c>
      <c r="E20" t="s">
        <v>178</v>
      </c>
      <c r="F20" t="s">
        <v>182</v>
      </c>
      <c r="G20">
        <v>1</v>
      </c>
      <c r="H20">
        <v>14174</v>
      </c>
      <c r="I20">
        <v>0</v>
      </c>
      <c r="J20" t="s">
        <v>189</v>
      </c>
      <c r="K20">
        <v>14174</v>
      </c>
      <c r="L20">
        <v>10879.67</v>
      </c>
      <c r="M20">
        <v>3294.33</v>
      </c>
      <c r="N20" t="s">
        <v>196</v>
      </c>
      <c r="O20">
        <v>2</v>
      </c>
      <c r="P20" s="5">
        <v>0.23242062932129251</v>
      </c>
    </row>
    <row r="21" spans="1:16" x14ac:dyDescent="0.35">
      <c r="A21" t="s">
        <v>30</v>
      </c>
      <c r="B21" s="4">
        <v>46061.734177215178</v>
      </c>
      <c r="C21" t="s">
        <v>110</v>
      </c>
      <c r="D21" t="s">
        <v>173</v>
      </c>
      <c r="E21" t="s">
        <v>179</v>
      </c>
      <c r="F21" t="s">
        <v>180</v>
      </c>
      <c r="G21">
        <v>5</v>
      </c>
      <c r="H21">
        <v>2821</v>
      </c>
      <c r="I21">
        <v>15</v>
      </c>
      <c r="J21" t="s">
        <v>186</v>
      </c>
      <c r="K21">
        <v>11989.25</v>
      </c>
      <c r="L21">
        <v>8762.59</v>
      </c>
      <c r="M21">
        <v>3226.66</v>
      </c>
      <c r="N21" t="s">
        <v>196</v>
      </c>
      <c r="O21">
        <v>2</v>
      </c>
      <c r="P21" s="5">
        <v>0.26912942844631649</v>
      </c>
    </row>
    <row r="22" spans="1:16" x14ac:dyDescent="0.35">
      <c r="A22" t="s">
        <v>31</v>
      </c>
      <c r="B22" s="4">
        <v>46064.012658227854</v>
      </c>
      <c r="C22" t="s">
        <v>111</v>
      </c>
      <c r="D22" t="s">
        <v>176</v>
      </c>
      <c r="E22" t="s">
        <v>178</v>
      </c>
      <c r="F22" t="s">
        <v>183</v>
      </c>
      <c r="G22">
        <v>4</v>
      </c>
      <c r="H22">
        <v>55469</v>
      </c>
      <c r="I22">
        <v>15</v>
      </c>
      <c r="J22" t="s">
        <v>186</v>
      </c>
      <c r="K22">
        <v>188594.6</v>
      </c>
      <c r="L22">
        <v>140002.1</v>
      </c>
      <c r="M22">
        <v>48592.5</v>
      </c>
      <c r="N22" t="s">
        <v>196</v>
      </c>
      <c r="O22">
        <v>2</v>
      </c>
      <c r="P22" s="5">
        <v>0.25765583956274463</v>
      </c>
    </row>
    <row r="23" spans="1:16" x14ac:dyDescent="0.35">
      <c r="A23" t="s">
        <v>32</v>
      </c>
      <c r="B23" s="4">
        <v>46066.2911392405</v>
      </c>
      <c r="C23" t="s">
        <v>112</v>
      </c>
      <c r="D23" t="s">
        <v>172</v>
      </c>
      <c r="E23" t="s">
        <v>178</v>
      </c>
      <c r="F23" t="s">
        <v>182</v>
      </c>
      <c r="G23">
        <v>2</v>
      </c>
      <c r="H23">
        <v>13837</v>
      </c>
      <c r="I23">
        <v>5</v>
      </c>
      <c r="J23" t="s">
        <v>189</v>
      </c>
      <c r="K23">
        <v>26290.3</v>
      </c>
      <c r="L23">
        <v>18506.27</v>
      </c>
      <c r="M23">
        <v>7784.03</v>
      </c>
      <c r="N23" t="s">
        <v>196</v>
      </c>
      <c r="O23">
        <v>2</v>
      </c>
      <c r="P23" s="5">
        <v>0.29607992301343083</v>
      </c>
    </row>
    <row r="24" spans="1:16" x14ac:dyDescent="0.35">
      <c r="A24" t="s">
        <v>33</v>
      </c>
      <c r="B24" s="4">
        <v>46068.569620253162</v>
      </c>
      <c r="C24" t="s">
        <v>113</v>
      </c>
      <c r="D24" t="s">
        <v>175</v>
      </c>
      <c r="E24" t="s">
        <v>179</v>
      </c>
      <c r="F24" t="s">
        <v>182</v>
      </c>
      <c r="G24">
        <v>3</v>
      </c>
      <c r="H24">
        <v>1229</v>
      </c>
      <c r="I24">
        <v>15</v>
      </c>
      <c r="J24" t="s">
        <v>187</v>
      </c>
      <c r="K24">
        <v>3133.95</v>
      </c>
      <c r="L24">
        <v>2098.3200000000002</v>
      </c>
      <c r="M24">
        <v>1035.6300000000001</v>
      </c>
      <c r="N24" t="s">
        <v>196</v>
      </c>
      <c r="O24">
        <v>2</v>
      </c>
      <c r="P24" s="5">
        <v>0.33045517637486244</v>
      </c>
    </row>
    <row r="25" spans="1:16" x14ac:dyDescent="0.35">
      <c r="A25" t="s">
        <v>34</v>
      </c>
      <c r="B25" s="4">
        <v>46070.848101265823</v>
      </c>
      <c r="C25" t="s">
        <v>114</v>
      </c>
      <c r="D25" t="s">
        <v>173</v>
      </c>
      <c r="E25" t="s">
        <v>179</v>
      </c>
      <c r="F25" t="s">
        <v>180</v>
      </c>
      <c r="G25">
        <v>1</v>
      </c>
      <c r="H25">
        <v>3164</v>
      </c>
      <c r="I25">
        <v>5</v>
      </c>
      <c r="J25" t="s">
        <v>187</v>
      </c>
      <c r="K25">
        <v>3005.8</v>
      </c>
      <c r="L25">
        <v>2077.59</v>
      </c>
      <c r="M25">
        <v>928.21</v>
      </c>
      <c r="N25" t="s">
        <v>196</v>
      </c>
      <c r="O25">
        <v>2</v>
      </c>
      <c r="P25" s="5">
        <v>0.30880630780491047</v>
      </c>
    </row>
    <row r="26" spans="1:16" x14ac:dyDescent="0.35">
      <c r="A26" t="s">
        <v>35</v>
      </c>
      <c r="B26" s="4">
        <v>46073.12658227847</v>
      </c>
      <c r="C26" t="s">
        <v>115</v>
      </c>
      <c r="D26" t="s">
        <v>175</v>
      </c>
      <c r="E26" t="s">
        <v>178</v>
      </c>
      <c r="F26" t="s">
        <v>182</v>
      </c>
      <c r="G26">
        <v>1</v>
      </c>
      <c r="H26">
        <v>14362</v>
      </c>
      <c r="I26">
        <v>15</v>
      </c>
      <c r="J26" t="s">
        <v>187</v>
      </c>
      <c r="K26">
        <v>12207.7</v>
      </c>
      <c r="L26">
        <v>9419.09</v>
      </c>
      <c r="M26">
        <v>2788.61</v>
      </c>
      <c r="N26" t="s">
        <v>196</v>
      </c>
      <c r="O26">
        <v>2</v>
      </c>
      <c r="P26" s="5">
        <v>0.2284304168680423</v>
      </c>
    </row>
    <row r="27" spans="1:16" x14ac:dyDescent="0.35">
      <c r="A27" t="s">
        <v>36</v>
      </c>
      <c r="B27" s="4">
        <v>46075.405063291131</v>
      </c>
      <c r="C27" t="s">
        <v>116</v>
      </c>
      <c r="D27" t="s">
        <v>176</v>
      </c>
      <c r="E27" t="s">
        <v>178</v>
      </c>
      <c r="F27" t="s">
        <v>180</v>
      </c>
      <c r="G27">
        <v>4</v>
      </c>
      <c r="H27">
        <v>55237</v>
      </c>
      <c r="I27">
        <v>10</v>
      </c>
      <c r="J27" t="s">
        <v>187</v>
      </c>
      <c r="K27">
        <v>198853.2</v>
      </c>
      <c r="L27">
        <v>123861.42</v>
      </c>
      <c r="M27">
        <v>74991.78</v>
      </c>
      <c r="N27" t="s">
        <v>196</v>
      </c>
      <c r="O27">
        <v>2</v>
      </c>
      <c r="P27" s="5">
        <v>0.37712131361225265</v>
      </c>
    </row>
    <row r="28" spans="1:16" x14ac:dyDescent="0.35">
      <c r="A28" t="s">
        <v>37</v>
      </c>
      <c r="B28" s="4">
        <v>46077.6835443038</v>
      </c>
      <c r="C28" t="s">
        <v>117</v>
      </c>
      <c r="D28" t="s">
        <v>176</v>
      </c>
      <c r="E28" t="s">
        <v>178</v>
      </c>
      <c r="F28" t="s">
        <v>184</v>
      </c>
      <c r="G28">
        <v>3</v>
      </c>
      <c r="H28">
        <v>55082</v>
      </c>
      <c r="I28">
        <v>10</v>
      </c>
      <c r="J28" t="s">
        <v>187</v>
      </c>
      <c r="K28">
        <v>148721.4</v>
      </c>
      <c r="L28">
        <v>95659.77</v>
      </c>
      <c r="M28">
        <v>53061.63</v>
      </c>
      <c r="N28" t="s">
        <v>196</v>
      </c>
      <c r="O28">
        <v>2</v>
      </c>
      <c r="P28" s="5">
        <v>0.3567854390827413</v>
      </c>
    </row>
    <row r="29" spans="1:16" x14ac:dyDescent="0.35">
      <c r="A29" t="s">
        <v>38</v>
      </c>
      <c r="B29" s="4">
        <v>46079.962025316447</v>
      </c>
      <c r="C29" t="s">
        <v>118</v>
      </c>
      <c r="D29" t="s">
        <v>174</v>
      </c>
      <c r="E29" t="s">
        <v>179</v>
      </c>
      <c r="F29" t="s">
        <v>182</v>
      </c>
      <c r="G29">
        <v>5</v>
      </c>
      <c r="H29">
        <v>2026</v>
      </c>
      <c r="I29">
        <v>10</v>
      </c>
      <c r="J29" t="s">
        <v>189</v>
      </c>
      <c r="K29">
        <v>9117</v>
      </c>
      <c r="L29">
        <v>5736.42</v>
      </c>
      <c r="M29">
        <v>3380.58</v>
      </c>
      <c r="N29" t="s">
        <v>196</v>
      </c>
      <c r="O29">
        <v>2</v>
      </c>
      <c r="P29" s="5">
        <v>0.37079960513326754</v>
      </c>
    </row>
    <row r="30" spans="1:16" x14ac:dyDescent="0.35">
      <c r="A30" t="s">
        <v>39</v>
      </c>
      <c r="B30" s="4">
        <v>46082.240506329108</v>
      </c>
      <c r="C30" t="s">
        <v>119</v>
      </c>
      <c r="D30" t="s">
        <v>174</v>
      </c>
      <c r="E30" t="s">
        <v>179</v>
      </c>
      <c r="F30" t="s">
        <v>184</v>
      </c>
      <c r="G30">
        <v>3</v>
      </c>
      <c r="H30">
        <v>2225</v>
      </c>
      <c r="I30">
        <v>15</v>
      </c>
      <c r="J30" t="s">
        <v>189</v>
      </c>
      <c r="K30">
        <v>5673.75</v>
      </c>
      <c r="L30">
        <v>3563.94</v>
      </c>
      <c r="M30">
        <v>2109.81</v>
      </c>
      <c r="N30" t="s">
        <v>197</v>
      </c>
      <c r="O30">
        <v>3</v>
      </c>
      <c r="P30" s="5">
        <v>0.37185459352280237</v>
      </c>
    </row>
    <row r="31" spans="1:16" x14ac:dyDescent="0.35">
      <c r="A31" t="s">
        <v>40</v>
      </c>
      <c r="B31" s="4">
        <v>46084.518987341769</v>
      </c>
      <c r="C31" t="s">
        <v>120</v>
      </c>
      <c r="D31" t="s">
        <v>175</v>
      </c>
      <c r="E31" t="s">
        <v>179</v>
      </c>
      <c r="F31" t="s">
        <v>180</v>
      </c>
      <c r="G31">
        <v>4</v>
      </c>
      <c r="H31">
        <v>1276</v>
      </c>
      <c r="I31">
        <v>5</v>
      </c>
      <c r="J31" t="s">
        <v>185</v>
      </c>
      <c r="K31">
        <v>4848.8</v>
      </c>
      <c r="L31">
        <v>3835.85</v>
      </c>
      <c r="M31">
        <v>1012.95</v>
      </c>
      <c r="N31" t="s">
        <v>197</v>
      </c>
      <c r="O31">
        <v>3</v>
      </c>
      <c r="P31" s="5">
        <v>0.20890735852169609</v>
      </c>
    </row>
    <row r="32" spans="1:16" x14ac:dyDescent="0.35">
      <c r="A32" t="s">
        <v>41</v>
      </c>
      <c r="B32" s="4">
        <v>46086.797468354423</v>
      </c>
      <c r="C32" t="s">
        <v>121</v>
      </c>
      <c r="D32" t="s">
        <v>172</v>
      </c>
      <c r="E32" t="s">
        <v>178</v>
      </c>
      <c r="F32" t="s">
        <v>183</v>
      </c>
      <c r="G32">
        <v>4</v>
      </c>
      <c r="H32">
        <v>14408</v>
      </c>
      <c r="I32">
        <v>5</v>
      </c>
      <c r="J32" t="s">
        <v>187</v>
      </c>
      <c r="K32">
        <v>54750.400000000001</v>
      </c>
      <c r="L32">
        <v>41650.36</v>
      </c>
      <c r="M32">
        <v>13100.04</v>
      </c>
      <c r="N32" t="s">
        <v>197</v>
      </c>
      <c r="O32">
        <v>3</v>
      </c>
      <c r="P32" s="5">
        <v>0.23926838890674773</v>
      </c>
    </row>
    <row r="33" spans="1:16" x14ac:dyDescent="0.35">
      <c r="A33" t="s">
        <v>42</v>
      </c>
      <c r="B33" s="4">
        <v>46089.075949367078</v>
      </c>
      <c r="C33" t="s">
        <v>122</v>
      </c>
      <c r="D33" t="s">
        <v>172</v>
      </c>
      <c r="E33" t="s">
        <v>178</v>
      </c>
      <c r="F33" t="s">
        <v>182</v>
      </c>
      <c r="G33">
        <v>3</v>
      </c>
      <c r="H33">
        <v>14083</v>
      </c>
      <c r="I33">
        <v>15</v>
      </c>
      <c r="J33" t="s">
        <v>189</v>
      </c>
      <c r="K33">
        <v>35911.65</v>
      </c>
      <c r="L33">
        <v>25670.9</v>
      </c>
      <c r="M33">
        <v>10240.75</v>
      </c>
      <c r="N33" t="s">
        <v>197</v>
      </c>
      <c r="O33">
        <v>3</v>
      </c>
      <c r="P33" s="5">
        <v>0.28516512051103193</v>
      </c>
    </row>
    <row r="34" spans="1:16" x14ac:dyDescent="0.35">
      <c r="A34" t="s">
        <v>43</v>
      </c>
      <c r="B34" s="4">
        <v>46091.354430379753</v>
      </c>
      <c r="C34" t="s">
        <v>123</v>
      </c>
      <c r="D34" t="s">
        <v>174</v>
      </c>
      <c r="E34" t="s">
        <v>179</v>
      </c>
      <c r="F34" t="s">
        <v>180</v>
      </c>
      <c r="G34">
        <v>4</v>
      </c>
      <c r="H34">
        <v>2480</v>
      </c>
      <c r="I34">
        <v>10</v>
      </c>
      <c r="J34" t="s">
        <v>185</v>
      </c>
      <c r="K34">
        <v>8928</v>
      </c>
      <c r="L34">
        <v>5710.05</v>
      </c>
      <c r="M34">
        <v>3217.95</v>
      </c>
      <c r="N34" t="s">
        <v>197</v>
      </c>
      <c r="O34">
        <v>3</v>
      </c>
      <c r="P34" s="5">
        <v>0.36043346774193546</v>
      </c>
    </row>
    <row r="35" spans="1:16" x14ac:dyDescent="0.35">
      <c r="A35" t="s">
        <v>44</v>
      </c>
      <c r="B35" s="4">
        <v>46093.632911392393</v>
      </c>
      <c r="C35" t="s">
        <v>124</v>
      </c>
      <c r="D35" t="s">
        <v>172</v>
      </c>
      <c r="E35" t="s">
        <v>178</v>
      </c>
      <c r="F35" t="s">
        <v>183</v>
      </c>
      <c r="G35">
        <v>3</v>
      </c>
      <c r="H35">
        <v>14252</v>
      </c>
      <c r="I35">
        <v>0</v>
      </c>
      <c r="J35" t="s">
        <v>187</v>
      </c>
      <c r="K35">
        <v>38480.400000000001</v>
      </c>
      <c r="L35">
        <v>27641.360000000001</v>
      </c>
      <c r="M35">
        <v>10839.04</v>
      </c>
      <c r="N35" t="s">
        <v>197</v>
      </c>
      <c r="O35">
        <v>3</v>
      </c>
      <c r="P35" s="5">
        <v>0.28167690564547149</v>
      </c>
    </row>
    <row r="36" spans="1:16" x14ac:dyDescent="0.35">
      <c r="A36" t="s">
        <v>45</v>
      </c>
      <c r="B36" s="4">
        <v>46095.911392405047</v>
      </c>
      <c r="C36" t="s">
        <v>125</v>
      </c>
      <c r="D36" t="s">
        <v>172</v>
      </c>
      <c r="E36" t="s">
        <v>178</v>
      </c>
      <c r="F36" t="s">
        <v>183</v>
      </c>
      <c r="G36">
        <v>2</v>
      </c>
      <c r="H36">
        <v>14458</v>
      </c>
      <c r="I36">
        <v>5</v>
      </c>
      <c r="J36" t="s">
        <v>186</v>
      </c>
      <c r="K36">
        <v>27470.2</v>
      </c>
      <c r="L36">
        <v>19632.8</v>
      </c>
      <c r="M36">
        <v>7837.4</v>
      </c>
      <c r="N36" t="s">
        <v>197</v>
      </c>
      <c r="O36">
        <v>3</v>
      </c>
      <c r="P36" s="5">
        <v>0.28530553108459344</v>
      </c>
    </row>
    <row r="37" spans="1:16" x14ac:dyDescent="0.35">
      <c r="A37" t="s">
        <v>46</v>
      </c>
      <c r="B37" s="4">
        <v>46098.189873417723</v>
      </c>
      <c r="C37" t="s">
        <v>126</v>
      </c>
      <c r="D37" t="s">
        <v>176</v>
      </c>
      <c r="E37" t="s">
        <v>178</v>
      </c>
      <c r="F37" t="s">
        <v>184</v>
      </c>
      <c r="G37">
        <v>3</v>
      </c>
      <c r="H37">
        <v>55315</v>
      </c>
      <c r="I37">
        <v>10</v>
      </c>
      <c r="J37" t="s">
        <v>185</v>
      </c>
      <c r="K37">
        <v>149350.5</v>
      </c>
      <c r="L37">
        <v>97770.87</v>
      </c>
      <c r="M37">
        <v>51579.63</v>
      </c>
      <c r="N37" t="s">
        <v>197</v>
      </c>
      <c r="O37">
        <v>3</v>
      </c>
      <c r="P37" s="5">
        <v>0.34535960709873753</v>
      </c>
    </row>
    <row r="38" spans="1:16" x14ac:dyDescent="0.35">
      <c r="A38" t="s">
        <v>47</v>
      </c>
      <c r="B38" s="4">
        <v>46100.46835443037</v>
      </c>
      <c r="C38" t="s">
        <v>127</v>
      </c>
      <c r="D38" t="s">
        <v>174</v>
      </c>
      <c r="E38" t="s">
        <v>179</v>
      </c>
      <c r="F38" t="s">
        <v>180</v>
      </c>
      <c r="G38">
        <v>3</v>
      </c>
      <c r="H38">
        <v>2546</v>
      </c>
      <c r="I38">
        <v>0</v>
      </c>
      <c r="J38" t="s">
        <v>189</v>
      </c>
      <c r="K38">
        <v>7638</v>
      </c>
      <c r="L38">
        <v>5398.31</v>
      </c>
      <c r="M38">
        <v>2239.69</v>
      </c>
      <c r="N38" t="s">
        <v>197</v>
      </c>
      <c r="O38">
        <v>3</v>
      </c>
      <c r="P38" s="5">
        <v>0.29322990311599895</v>
      </c>
    </row>
    <row r="39" spans="1:16" x14ac:dyDescent="0.35">
      <c r="A39" t="s">
        <v>48</v>
      </c>
      <c r="B39" s="4">
        <v>46102.746835443031</v>
      </c>
      <c r="C39" t="s">
        <v>128</v>
      </c>
      <c r="D39" t="s">
        <v>173</v>
      </c>
      <c r="E39" t="s">
        <v>179</v>
      </c>
      <c r="F39" t="s">
        <v>183</v>
      </c>
      <c r="G39">
        <v>4</v>
      </c>
      <c r="H39">
        <v>2991</v>
      </c>
      <c r="I39">
        <v>5</v>
      </c>
      <c r="J39" t="s">
        <v>186</v>
      </c>
      <c r="K39">
        <v>11365.8</v>
      </c>
      <c r="L39">
        <v>7952.66</v>
      </c>
      <c r="M39">
        <v>3413.14</v>
      </c>
      <c r="N39" t="s">
        <v>197</v>
      </c>
      <c r="O39">
        <v>3</v>
      </c>
      <c r="P39" s="5">
        <v>0.30029914304316457</v>
      </c>
    </row>
    <row r="40" spans="1:16" x14ac:dyDescent="0.35">
      <c r="A40" t="s">
        <v>49</v>
      </c>
      <c r="B40" s="4">
        <v>46105.025316455693</v>
      </c>
      <c r="C40" t="s">
        <v>129</v>
      </c>
      <c r="D40" t="s">
        <v>174</v>
      </c>
      <c r="E40" t="s">
        <v>179</v>
      </c>
      <c r="F40" t="s">
        <v>182</v>
      </c>
      <c r="G40">
        <v>4</v>
      </c>
      <c r="H40">
        <v>2048</v>
      </c>
      <c r="I40">
        <v>10</v>
      </c>
      <c r="J40" t="s">
        <v>186</v>
      </c>
      <c r="K40">
        <v>7372.8</v>
      </c>
      <c r="L40">
        <v>5479.24</v>
      </c>
      <c r="M40">
        <v>1893.56</v>
      </c>
      <c r="N40" t="s">
        <v>197</v>
      </c>
      <c r="O40">
        <v>3</v>
      </c>
      <c r="P40" s="5">
        <v>0.25683051215277775</v>
      </c>
    </row>
    <row r="41" spans="1:16" x14ac:dyDescent="0.35">
      <c r="A41" t="s">
        <v>50</v>
      </c>
      <c r="B41" s="4">
        <v>46107.303797468347</v>
      </c>
      <c r="C41" t="s">
        <v>130</v>
      </c>
      <c r="D41" t="s">
        <v>173</v>
      </c>
      <c r="E41" t="s">
        <v>179</v>
      </c>
      <c r="F41" t="s">
        <v>182</v>
      </c>
      <c r="G41">
        <v>1</v>
      </c>
      <c r="H41">
        <v>3311</v>
      </c>
      <c r="I41">
        <v>5</v>
      </c>
      <c r="J41" t="s">
        <v>186</v>
      </c>
      <c r="K41">
        <v>3145.45</v>
      </c>
      <c r="L41">
        <v>2349.71</v>
      </c>
      <c r="M41">
        <v>795.74</v>
      </c>
      <c r="N41" t="s">
        <v>197</v>
      </c>
      <c r="O41">
        <v>3</v>
      </c>
      <c r="P41" s="5">
        <v>0.2529812904353908</v>
      </c>
    </row>
    <row r="42" spans="1:16" x14ac:dyDescent="0.35">
      <c r="A42" t="s">
        <v>51</v>
      </c>
      <c r="B42" s="4">
        <v>46109.582278481008</v>
      </c>
      <c r="C42" t="s">
        <v>131</v>
      </c>
      <c r="D42" t="s">
        <v>176</v>
      </c>
      <c r="E42" t="s">
        <v>178</v>
      </c>
      <c r="F42" t="s">
        <v>184</v>
      </c>
      <c r="G42">
        <v>1</v>
      </c>
      <c r="H42">
        <v>54816</v>
      </c>
      <c r="I42">
        <v>0</v>
      </c>
      <c r="J42" t="s">
        <v>185</v>
      </c>
      <c r="K42">
        <v>54816</v>
      </c>
      <c r="L42">
        <v>34482.6</v>
      </c>
      <c r="M42">
        <v>20333.400000000001</v>
      </c>
      <c r="N42" t="s">
        <v>197</v>
      </c>
      <c r="O42">
        <v>3</v>
      </c>
      <c r="P42" s="5">
        <v>0.37093914185639232</v>
      </c>
    </row>
    <row r="43" spans="1:16" x14ac:dyDescent="0.35">
      <c r="A43" t="s">
        <v>52</v>
      </c>
      <c r="B43" s="4">
        <v>46111.860759493669</v>
      </c>
      <c r="C43" t="s">
        <v>132</v>
      </c>
      <c r="D43" t="s">
        <v>175</v>
      </c>
      <c r="E43" t="s">
        <v>179</v>
      </c>
      <c r="F43" t="s">
        <v>183</v>
      </c>
      <c r="G43">
        <v>2</v>
      </c>
      <c r="H43">
        <v>1171</v>
      </c>
      <c r="I43">
        <v>5</v>
      </c>
      <c r="J43" t="s">
        <v>189</v>
      </c>
      <c r="K43">
        <v>2224.9</v>
      </c>
      <c r="L43">
        <v>1546.13</v>
      </c>
      <c r="M43">
        <v>678.77</v>
      </c>
      <c r="N43" t="s">
        <v>197</v>
      </c>
      <c r="O43">
        <v>3</v>
      </c>
      <c r="P43" s="5">
        <v>0.30507887994966065</v>
      </c>
    </row>
    <row r="44" spans="1:16" x14ac:dyDescent="0.35">
      <c r="A44" t="s">
        <v>53</v>
      </c>
      <c r="B44" s="4">
        <v>46114.139240506323</v>
      </c>
      <c r="C44" t="s">
        <v>133</v>
      </c>
      <c r="D44" t="s">
        <v>172</v>
      </c>
      <c r="E44" t="s">
        <v>178</v>
      </c>
      <c r="F44" t="s">
        <v>180</v>
      </c>
      <c r="G44">
        <v>1</v>
      </c>
      <c r="H44">
        <v>14019</v>
      </c>
      <c r="I44">
        <v>5</v>
      </c>
      <c r="J44" t="s">
        <v>186</v>
      </c>
      <c r="K44">
        <v>13318.05</v>
      </c>
      <c r="L44">
        <v>9924.24</v>
      </c>
      <c r="M44">
        <v>3393.81</v>
      </c>
      <c r="N44" t="s">
        <v>198</v>
      </c>
      <c r="O44">
        <v>4</v>
      </c>
      <c r="P44" s="5">
        <v>0.25482784641895773</v>
      </c>
    </row>
    <row r="45" spans="1:16" x14ac:dyDescent="0.35">
      <c r="A45" t="s">
        <v>54</v>
      </c>
      <c r="B45" s="4">
        <v>46116.417721518977</v>
      </c>
      <c r="C45" t="s">
        <v>134</v>
      </c>
      <c r="D45" t="s">
        <v>176</v>
      </c>
      <c r="E45" t="s">
        <v>178</v>
      </c>
      <c r="F45" t="s">
        <v>182</v>
      </c>
      <c r="G45">
        <v>3</v>
      </c>
      <c r="H45">
        <v>54957</v>
      </c>
      <c r="I45">
        <v>5</v>
      </c>
      <c r="J45" t="s">
        <v>187</v>
      </c>
      <c r="K45">
        <v>156627.45000000001</v>
      </c>
      <c r="L45">
        <v>112870.01</v>
      </c>
      <c r="M45">
        <v>43757.440000000002</v>
      </c>
      <c r="N45" t="s">
        <v>198</v>
      </c>
      <c r="O45">
        <v>4</v>
      </c>
      <c r="P45" s="5">
        <v>0.27937274085736569</v>
      </c>
    </row>
    <row r="46" spans="1:16" x14ac:dyDescent="0.35">
      <c r="A46" t="s">
        <v>55</v>
      </c>
      <c r="B46" s="4">
        <v>46118.696202531653</v>
      </c>
      <c r="C46" t="s">
        <v>135</v>
      </c>
      <c r="D46" t="s">
        <v>172</v>
      </c>
      <c r="E46" t="s">
        <v>178</v>
      </c>
      <c r="F46" t="s">
        <v>183</v>
      </c>
      <c r="G46">
        <v>4</v>
      </c>
      <c r="H46">
        <v>14276</v>
      </c>
      <c r="I46">
        <v>5</v>
      </c>
      <c r="J46" t="s">
        <v>186</v>
      </c>
      <c r="K46">
        <v>54248.800000000003</v>
      </c>
      <c r="L46">
        <v>42926.97</v>
      </c>
      <c r="M46">
        <v>11321.83</v>
      </c>
      <c r="N46" t="s">
        <v>198</v>
      </c>
      <c r="O46">
        <v>4</v>
      </c>
      <c r="P46" s="5">
        <v>0.20870194363746294</v>
      </c>
    </row>
    <row r="47" spans="1:16" x14ac:dyDescent="0.35">
      <c r="A47" t="s">
        <v>56</v>
      </c>
      <c r="B47" s="4">
        <v>46120.974683544293</v>
      </c>
      <c r="C47" t="s">
        <v>136</v>
      </c>
      <c r="D47" t="s">
        <v>175</v>
      </c>
      <c r="E47" t="s">
        <v>179</v>
      </c>
      <c r="F47" t="s">
        <v>183</v>
      </c>
      <c r="G47">
        <v>1</v>
      </c>
      <c r="H47">
        <v>1045</v>
      </c>
      <c r="I47">
        <v>0</v>
      </c>
      <c r="J47" t="s">
        <v>186</v>
      </c>
      <c r="K47">
        <v>1045</v>
      </c>
      <c r="L47">
        <v>785.57</v>
      </c>
      <c r="M47">
        <v>259.43</v>
      </c>
      <c r="N47" t="s">
        <v>198</v>
      </c>
      <c r="O47">
        <v>4</v>
      </c>
      <c r="P47" s="5">
        <v>0.24825837320574162</v>
      </c>
    </row>
    <row r="48" spans="1:16" x14ac:dyDescent="0.35">
      <c r="A48" t="s">
        <v>57</v>
      </c>
      <c r="B48" s="4">
        <v>46123.253164556947</v>
      </c>
      <c r="C48" t="s">
        <v>137</v>
      </c>
      <c r="D48" t="s">
        <v>175</v>
      </c>
      <c r="E48" t="s">
        <v>179</v>
      </c>
      <c r="F48" t="s">
        <v>201</v>
      </c>
      <c r="G48">
        <v>1</v>
      </c>
      <c r="H48">
        <v>1372</v>
      </c>
      <c r="I48">
        <v>15</v>
      </c>
      <c r="J48" t="s">
        <v>185</v>
      </c>
      <c r="K48">
        <v>1166.2</v>
      </c>
      <c r="L48">
        <v>761.05</v>
      </c>
      <c r="M48">
        <v>405.15</v>
      </c>
      <c r="N48" t="s">
        <v>198</v>
      </c>
      <c r="O48">
        <v>4</v>
      </c>
      <c r="P48" s="5">
        <v>0.34741039272851992</v>
      </c>
    </row>
    <row r="49" spans="1:16" x14ac:dyDescent="0.35">
      <c r="A49" t="s">
        <v>58</v>
      </c>
      <c r="B49" s="4">
        <v>46125.531645569623</v>
      </c>
      <c r="C49" t="s">
        <v>138</v>
      </c>
      <c r="D49" t="s">
        <v>176</v>
      </c>
      <c r="E49" t="s">
        <v>178</v>
      </c>
      <c r="F49" t="s">
        <v>182</v>
      </c>
      <c r="G49">
        <v>2</v>
      </c>
      <c r="H49">
        <v>55317</v>
      </c>
      <c r="I49">
        <v>5</v>
      </c>
      <c r="J49" t="s">
        <v>185</v>
      </c>
      <c r="K49">
        <v>105102.3</v>
      </c>
      <c r="L49">
        <v>66646.81</v>
      </c>
      <c r="M49">
        <v>38455.49</v>
      </c>
      <c r="N49" t="s">
        <v>198</v>
      </c>
      <c r="O49">
        <v>4</v>
      </c>
      <c r="P49" s="5">
        <v>0.36588628412508573</v>
      </c>
    </row>
    <row r="50" spans="1:16" x14ac:dyDescent="0.35">
      <c r="A50" t="s">
        <v>59</v>
      </c>
      <c r="B50" s="4">
        <v>46127.81012658227</v>
      </c>
      <c r="C50" t="s">
        <v>139</v>
      </c>
      <c r="D50" t="s">
        <v>175</v>
      </c>
      <c r="E50" t="s">
        <v>179</v>
      </c>
      <c r="F50" t="s">
        <v>182</v>
      </c>
      <c r="G50">
        <v>2</v>
      </c>
      <c r="H50">
        <v>1098</v>
      </c>
      <c r="I50">
        <v>5</v>
      </c>
      <c r="J50" t="s">
        <v>189</v>
      </c>
      <c r="K50">
        <v>2086.1999999999998</v>
      </c>
      <c r="L50">
        <v>1561.49</v>
      </c>
      <c r="M50">
        <v>524.71</v>
      </c>
      <c r="N50" t="s">
        <v>198</v>
      </c>
      <c r="O50">
        <v>4</v>
      </c>
      <c r="P50" s="5">
        <v>0.25151471575112649</v>
      </c>
    </row>
    <row r="51" spans="1:16" x14ac:dyDescent="0.35">
      <c r="A51" t="s">
        <v>60</v>
      </c>
      <c r="B51" s="4">
        <v>46130.088607594931</v>
      </c>
      <c r="C51" t="s">
        <v>140</v>
      </c>
      <c r="D51" t="s">
        <v>173</v>
      </c>
      <c r="E51" t="s">
        <v>179</v>
      </c>
      <c r="F51" t="s">
        <v>180</v>
      </c>
      <c r="G51">
        <v>3</v>
      </c>
      <c r="H51">
        <v>2836</v>
      </c>
      <c r="I51">
        <v>10</v>
      </c>
      <c r="J51" t="s">
        <v>187</v>
      </c>
      <c r="K51">
        <v>7657.2</v>
      </c>
      <c r="L51">
        <v>4788.0600000000004</v>
      </c>
      <c r="M51">
        <v>2869.14</v>
      </c>
      <c r="N51" t="s">
        <v>198</v>
      </c>
      <c r="O51">
        <v>4</v>
      </c>
      <c r="P51" s="5">
        <v>0.3746983231468422</v>
      </c>
    </row>
    <row r="52" spans="1:16" x14ac:dyDescent="0.35">
      <c r="A52" t="s">
        <v>61</v>
      </c>
      <c r="B52" s="4">
        <v>46132.367088607592</v>
      </c>
      <c r="C52" t="s">
        <v>141</v>
      </c>
      <c r="D52" t="s">
        <v>175</v>
      </c>
      <c r="E52" t="s">
        <v>179</v>
      </c>
      <c r="F52" t="s">
        <v>182</v>
      </c>
      <c r="G52">
        <v>4</v>
      </c>
      <c r="H52">
        <v>1279</v>
      </c>
      <c r="I52">
        <v>5</v>
      </c>
      <c r="J52" t="s">
        <v>185</v>
      </c>
      <c r="K52">
        <v>4860.2</v>
      </c>
      <c r="L52">
        <v>3582.72</v>
      </c>
      <c r="M52">
        <v>1277.48</v>
      </c>
      <c r="N52" t="s">
        <v>198</v>
      </c>
      <c r="O52">
        <v>4</v>
      </c>
      <c r="P52" s="5">
        <v>0.26284515040533313</v>
      </c>
    </row>
    <row r="53" spans="1:16" x14ac:dyDescent="0.35">
      <c r="A53" t="s">
        <v>62</v>
      </c>
      <c r="B53" s="4">
        <v>46134.645569620247</v>
      </c>
      <c r="C53" t="s">
        <v>142</v>
      </c>
      <c r="D53" t="s">
        <v>172</v>
      </c>
      <c r="E53" t="s">
        <v>178</v>
      </c>
      <c r="F53" t="s">
        <v>180</v>
      </c>
      <c r="G53">
        <v>2</v>
      </c>
      <c r="H53">
        <v>14148</v>
      </c>
      <c r="I53">
        <v>10</v>
      </c>
      <c r="J53" t="s">
        <v>186</v>
      </c>
      <c r="K53">
        <v>25466.400000000001</v>
      </c>
      <c r="L53">
        <v>20578.02</v>
      </c>
      <c r="M53">
        <v>4888.38</v>
      </c>
      <c r="N53" t="s">
        <v>198</v>
      </c>
      <c r="O53">
        <v>4</v>
      </c>
      <c r="P53" s="5">
        <v>0.19195410423145792</v>
      </c>
    </row>
    <row r="54" spans="1:16" x14ac:dyDescent="0.35">
      <c r="A54" t="s">
        <v>63</v>
      </c>
      <c r="B54" s="4">
        <v>46136.924050632908</v>
      </c>
      <c r="C54" t="s">
        <v>143</v>
      </c>
      <c r="D54" t="s">
        <v>172</v>
      </c>
      <c r="E54" t="s">
        <v>178</v>
      </c>
      <c r="F54" t="s">
        <v>182</v>
      </c>
      <c r="G54">
        <v>1</v>
      </c>
      <c r="H54">
        <v>14296</v>
      </c>
      <c r="I54">
        <v>15</v>
      </c>
      <c r="J54" t="s">
        <v>189</v>
      </c>
      <c r="K54">
        <v>12151.6</v>
      </c>
      <c r="L54">
        <v>8932.58</v>
      </c>
      <c r="M54">
        <v>3219.02</v>
      </c>
      <c r="N54" t="s">
        <v>198</v>
      </c>
      <c r="O54">
        <v>4</v>
      </c>
      <c r="P54" s="5">
        <v>0.26490503308206326</v>
      </c>
    </row>
    <row r="55" spans="1:16" x14ac:dyDescent="0.35">
      <c r="A55" t="s">
        <v>64</v>
      </c>
      <c r="B55" s="4">
        <v>46139.202531645569</v>
      </c>
      <c r="C55" t="s">
        <v>144</v>
      </c>
      <c r="D55" t="s">
        <v>172</v>
      </c>
      <c r="E55" t="s">
        <v>178</v>
      </c>
      <c r="F55" t="s">
        <v>184</v>
      </c>
      <c r="G55">
        <v>4</v>
      </c>
      <c r="H55">
        <v>14101</v>
      </c>
      <c r="I55">
        <v>0</v>
      </c>
      <c r="J55" t="s">
        <v>186</v>
      </c>
      <c r="K55">
        <v>56404</v>
      </c>
      <c r="L55">
        <v>39349.35</v>
      </c>
      <c r="M55">
        <v>17054.650000000001</v>
      </c>
      <c r="N55" t="s">
        <v>198</v>
      </c>
      <c r="O55">
        <v>4</v>
      </c>
      <c r="P55" s="5">
        <v>0.30236596695269841</v>
      </c>
    </row>
    <row r="56" spans="1:16" x14ac:dyDescent="0.35">
      <c r="A56" t="s">
        <v>65</v>
      </c>
      <c r="B56" s="4">
        <v>46141.481012658223</v>
      </c>
      <c r="C56" t="s">
        <v>145</v>
      </c>
      <c r="D56" t="s">
        <v>172</v>
      </c>
      <c r="E56" t="s">
        <v>178</v>
      </c>
      <c r="F56" t="s">
        <v>182</v>
      </c>
      <c r="G56">
        <v>4</v>
      </c>
      <c r="H56">
        <v>13980</v>
      </c>
      <c r="I56">
        <v>0</v>
      </c>
      <c r="J56" t="s">
        <v>186</v>
      </c>
      <c r="K56">
        <v>55920</v>
      </c>
      <c r="L56">
        <v>41864.94</v>
      </c>
      <c r="M56">
        <v>14055.06</v>
      </c>
      <c r="N56" t="s">
        <v>198</v>
      </c>
      <c r="O56">
        <v>4</v>
      </c>
      <c r="P56" s="5">
        <v>0.2513422746781116</v>
      </c>
    </row>
    <row r="57" spans="1:16" x14ac:dyDescent="0.35">
      <c r="A57" t="s">
        <v>66</v>
      </c>
      <c r="B57" s="4">
        <v>46143.759493670877</v>
      </c>
      <c r="C57" t="s">
        <v>146</v>
      </c>
      <c r="D57" t="s">
        <v>173</v>
      </c>
      <c r="E57" t="s">
        <v>179</v>
      </c>
      <c r="F57" t="s">
        <v>180</v>
      </c>
      <c r="G57">
        <v>1</v>
      </c>
      <c r="H57">
        <v>3406</v>
      </c>
      <c r="I57">
        <v>15</v>
      </c>
      <c r="J57" t="s">
        <v>185</v>
      </c>
      <c r="K57">
        <v>2895.1</v>
      </c>
      <c r="L57">
        <v>2060.3000000000002</v>
      </c>
      <c r="M57">
        <v>834.8</v>
      </c>
      <c r="N57" t="s">
        <v>199</v>
      </c>
      <c r="O57">
        <v>5</v>
      </c>
      <c r="P57" s="5">
        <v>0.28834927981762287</v>
      </c>
    </row>
    <row r="58" spans="1:16" x14ac:dyDescent="0.35">
      <c r="A58" t="s">
        <v>67</v>
      </c>
      <c r="B58" s="4">
        <v>46146.037974683539</v>
      </c>
      <c r="C58" t="s">
        <v>147</v>
      </c>
      <c r="D58" t="s">
        <v>174</v>
      </c>
      <c r="E58" t="s">
        <v>179</v>
      </c>
      <c r="F58" t="s">
        <v>180</v>
      </c>
      <c r="G58">
        <v>2</v>
      </c>
      <c r="H58">
        <v>2098</v>
      </c>
      <c r="I58">
        <v>0</v>
      </c>
      <c r="J58" t="s">
        <v>189</v>
      </c>
      <c r="K58">
        <v>4196</v>
      </c>
      <c r="L58">
        <v>3059.4</v>
      </c>
      <c r="M58">
        <v>1136.5999999999999</v>
      </c>
      <c r="N58" t="s">
        <v>199</v>
      </c>
      <c r="O58">
        <v>5</v>
      </c>
      <c r="P58" s="5">
        <v>0.27087702573879885</v>
      </c>
    </row>
    <row r="59" spans="1:16" x14ac:dyDescent="0.35">
      <c r="A59" t="s">
        <v>68</v>
      </c>
      <c r="B59" s="4">
        <v>46148.316455696193</v>
      </c>
      <c r="C59" t="s">
        <v>148</v>
      </c>
      <c r="D59" t="s">
        <v>176</v>
      </c>
      <c r="E59" t="s">
        <v>178</v>
      </c>
      <c r="F59" t="s">
        <v>184</v>
      </c>
      <c r="G59">
        <v>1</v>
      </c>
      <c r="H59">
        <v>55499</v>
      </c>
      <c r="I59">
        <v>15</v>
      </c>
      <c r="J59" t="s">
        <v>189</v>
      </c>
      <c r="K59">
        <v>47174.15</v>
      </c>
      <c r="L59">
        <v>38130.53</v>
      </c>
      <c r="M59">
        <v>9043.6200000000008</v>
      </c>
      <c r="N59" t="s">
        <v>199</v>
      </c>
      <c r="O59">
        <v>5</v>
      </c>
      <c r="P59" s="5">
        <v>0.19170711077995048</v>
      </c>
    </row>
    <row r="60" spans="1:16" x14ac:dyDescent="0.35">
      <c r="A60" t="s">
        <v>69</v>
      </c>
      <c r="B60" s="4">
        <v>46150.594936708847</v>
      </c>
      <c r="C60" t="s">
        <v>149</v>
      </c>
      <c r="D60" t="s">
        <v>172</v>
      </c>
      <c r="E60" t="s">
        <v>178</v>
      </c>
      <c r="F60" t="s">
        <v>182</v>
      </c>
      <c r="G60">
        <v>4</v>
      </c>
      <c r="H60">
        <v>13915</v>
      </c>
      <c r="I60">
        <v>15</v>
      </c>
      <c r="J60" t="s">
        <v>187</v>
      </c>
      <c r="K60">
        <v>47311</v>
      </c>
      <c r="L60">
        <v>32986.199999999997</v>
      </c>
      <c r="M60">
        <v>14324.8</v>
      </c>
      <c r="N60" t="s">
        <v>199</v>
      </c>
      <c r="O60">
        <v>5</v>
      </c>
      <c r="P60" s="5">
        <v>0.30277948045908981</v>
      </c>
    </row>
    <row r="61" spans="1:16" x14ac:dyDescent="0.35">
      <c r="A61" t="s">
        <v>70</v>
      </c>
      <c r="B61" s="4">
        <v>46152.873417721523</v>
      </c>
      <c r="C61" t="s">
        <v>150</v>
      </c>
      <c r="D61" t="s">
        <v>175</v>
      </c>
      <c r="E61" t="s">
        <v>179</v>
      </c>
      <c r="F61" t="s">
        <v>182</v>
      </c>
      <c r="G61">
        <v>5</v>
      </c>
      <c r="H61">
        <v>1190</v>
      </c>
      <c r="I61">
        <v>15</v>
      </c>
      <c r="J61" t="s">
        <v>185</v>
      </c>
      <c r="K61">
        <v>5057.5</v>
      </c>
      <c r="L61">
        <v>4107.8900000000003</v>
      </c>
      <c r="M61">
        <v>949.61</v>
      </c>
      <c r="N61" t="s">
        <v>199</v>
      </c>
      <c r="O61">
        <v>5</v>
      </c>
      <c r="P61" s="5">
        <v>0.1877627286208601</v>
      </c>
    </row>
    <row r="62" spans="1:16" x14ac:dyDescent="0.35">
      <c r="A62" t="s">
        <v>71</v>
      </c>
      <c r="B62" s="4">
        <v>46155.15189873417</v>
      </c>
      <c r="C62" t="s">
        <v>151</v>
      </c>
      <c r="D62" t="s">
        <v>172</v>
      </c>
      <c r="E62" t="s">
        <v>178</v>
      </c>
      <c r="F62" t="s">
        <v>184</v>
      </c>
      <c r="G62">
        <v>5</v>
      </c>
      <c r="H62">
        <v>14052</v>
      </c>
      <c r="I62">
        <v>0</v>
      </c>
      <c r="J62" t="s">
        <v>185</v>
      </c>
      <c r="K62">
        <v>70260</v>
      </c>
      <c r="L62">
        <v>56283.19</v>
      </c>
      <c r="M62">
        <v>13976.81</v>
      </c>
      <c r="N62" t="s">
        <v>199</v>
      </c>
      <c r="O62">
        <v>5</v>
      </c>
      <c r="P62" s="5">
        <v>0.19892983205237688</v>
      </c>
    </row>
    <row r="63" spans="1:16" x14ac:dyDescent="0.35">
      <c r="A63" t="s">
        <v>72</v>
      </c>
      <c r="B63" s="4">
        <v>46157.430379746831</v>
      </c>
      <c r="C63" t="s">
        <v>152</v>
      </c>
      <c r="D63" t="s">
        <v>175</v>
      </c>
      <c r="E63" t="s">
        <v>179</v>
      </c>
      <c r="F63" t="s">
        <v>182</v>
      </c>
      <c r="G63">
        <v>3</v>
      </c>
      <c r="H63">
        <v>1160</v>
      </c>
      <c r="I63">
        <v>10</v>
      </c>
      <c r="J63" t="s">
        <v>189</v>
      </c>
      <c r="K63">
        <v>3132</v>
      </c>
      <c r="L63">
        <v>2064.48</v>
      </c>
      <c r="M63">
        <v>1067.52</v>
      </c>
      <c r="N63" t="s">
        <v>199</v>
      </c>
      <c r="O63">
        <v>5</v>
      </c>
      <c r="P63" s="5">
        <v>0.34084291187739463</v>
      </c>
    </row>
    <row r="64" spans="1:16" x14ac:dyDescent="0.35">
      <c r="A64" t="s">
        <v>73</v>
      </c>
      <c r="B64" s="4">
        <v>46159.708860759492</v>
      </c>
      <c r="C64" t="s">
        <v>153</v>
      </c>
      <c r="D64" t="s">
        <v>175</v>
      </c>
      <c r="E64" t="s">
        <v>179</v>
      </c>
      <c r="F64" t="s">
        <v>182</v>
      </c>
      <c r="G64">
        <v>1</v>
      </c>
      <c r="H64">
        <v>1255</v>
      </c>
      <c r="I64">
        <v>15</v>
      </c>
      <c r="J64" t="s">
        <v>187</v>
      </c>
      <c r="K64">
        <v>1066.75</v>
      </c>
      <c r="L64">
        <v>676.18</v>
      </c>
      <c r="M64">
        <v>390.57</v>
      </c>
      <c r="N64" t="s">
        <v>199</v>
      </c>
      <c r="O64">
        <v>5</v>
      </c>
      <c r="P64" s="5">
        <v>0.36613077103351299</v>
      </c>
    </row>
    <row r="65" spans="1:16" x14ac:dyDescent="0.35">
      <c r="A65" t="s">
        <v>74</v>
      </c>
      <c r="B65" s="4">
        <v>46161.987341772139</v>
      </c>
      <c r="C65" t="s">
        <v>154</v>
      </c>
      <c r="D65" t="s">
        <v>172</v>
      </c>
      <c r="E65" t="s">
        <v>178</v>
      </c>
      <c r="F65" t="s">
        <v>180</v>
      </c>
      <c r="G65">
        <v>1</v>
      </c>
      <c r="H65">
        <v>14122</v>
      </c>
      <c r="I65">
        <v>5</v>
      </c>
      <c r="J65" t="s">
        <v>187</v>
      </c>
      <c r="K65">
        <v>13415.9</v>
      </c>
      <c r="L65">
        <v>8588.26</v>
      </c>
      <c r="M65">
        <v>4827.6400000000003</v>
      </c>
      <c r="N65" t="s">
        <v>199</v>
      </c>
      <c r="O65">
        <v>5</v>
      </c>
      <c r="P65" s="5">
        <v>0.35984466193099235</v>
      </c>
    </row>
    <row r="66" spans="1:16" x14ac:dyDescent="0.35">
      <c r="A66" t="s">
        <v>75</v>
      </c>
      <c r="B66" s="4">
        <v>46164.265822784801</v>
      </c>
      <c r="C66" t="s">
        <v>155</v>
      </c>
      <c r="D66" t="s">
        <v>173</v>
      </c>
      <c r="E66" t="s">
        <v>179</v>
      </c>
      <c r="F66" t="s">
        <v>182</v>
      </c>
      <c r="G66">
        <v>3</v>
      </c>
      <c r="H66">
        <v>2927</v>
      </c>
      <c r="I66">
        <v>0</v>
      </c>
      <c r="J66" t="s">
        <v>187</v>
      </c>
      <c r="K66">
        <v>8781</v>
      </c>
      <c r="L66">
        <v>5476.22</v>
      </c>
      <c r="M66">
        <v>3304.78</v>
      </c>
      <c r="N66" t="s">
        <v>199</v>
      </c>
      <c r="O66">
        <v>5</v>
      </c>
      <c r="P66" s="5">
        <v>0.37635576813574767</v>
      </c>
    </row>
    <row r="67" spans="1:16" x14ac:dyDescent="0.35">
      <c r="A67" t="s">
        <v>76</v>
      </c>
      <c r="B67" s="4">
        <v>46166.544303797462</v>
      </c>
      <c r="C67" t="s">
        <v>156</v>
      </c>
      <c r="D67" t="s">
        <v>175</v>
      </c>
      <c r="E67" t="s">
        <v>179</v>
      </c>
      <c r="F67" t="s">
        <v>182</v>
      </c>
      <c r="G67">
        <v>3</v>
      </c>
      <c r="H67">
        <v>1017</v>
      </c>
      <c r="I67">
        <v>15</v>
      </c>
      <c r="J67" t="s">
        <v>186</v>
      </c>
      <c r="K67">
        <v>2593.35</v>
      </c>
      <c r="L67">
        <v>1656.86</v>
      </c>
      <c r="M67">
        <v>936.49</v>
      </c>
      <c r="N67" t="s">
        <v>199</v>
      </c>
      <c r="O67">
        <v>5</v>
      </c>
      <c r="P67" s="5">
        <v>0.36111207511519849</v>
      </c>
    </row>
    <row r="68" spans="1:16" x14ac:dyDescent="0.35">
      <c r="A68" t="s">
        <v>77</v>
      </c>
      <c r="B68" s="4">
        <v>46168.822784810123</v>
      </c>
      <c r="C68" t="s">
        <v>157</v>
      </c>
      <c r="D68" t="s">
        <v>175</v>
      </c>
      <c r="E68" t="s">
        <v>179</v>
      </c>
      <c r="F68" t="s">
        <v>184</v>
      </c>
      <c r="G68">
        <v>3</v>
      </c>
      <c r="H68">
        <v>1565</v>
      </c>
      <c r="I68">
        <v>15</v>
      </c>
      <c r="J68" t="s">
        <v>187</v>
      </c>
      <c r="K68">
        <v>3990.75</v>
      </c>
      <c r="L68">
        <v>3019.41</v>
      </c>
      <c r="M68">
        <v>971.34</v>
      </c>
      <c r="N68" t="s">
        <v>199</v>
      </c>
      <c r="O68">
        <v>5</v>
      </c>
      <c r="P68" s="5">
        <v>0.24339785754557414</v>
      </c>
    </row>
    <row r="69" spans="1:16" x14ac:dyDescent="0.35">
      <c r="A69" t="s">
        <v>78</v>
      </c>
      <c r="B69" s="4">
        <v>46171.101265822777</v>
      </c>
      <c r="C69" t="s">
        <v>158</v>
      </c>
      <c r="D69" t="s">
        <v>172</v>
      </c>
      <c r="E69" t="s">
        <v>178</v>
      </c>
      <c r="F69" t="s">
        <v>184</v>
      </c>
      <c r="G69">
        <v>4</v>
      </c>
      <c r="H69">
        <v>14369</v>
      </c>
      <c r="I69">
        <v>5</v>
      </c>
      <c r="J69" t="s">
        <v>186</v>
      </c>
      <c r="K69">
        <v>54602.2</v>
      </c>
      <c r="L69">
        <v>34630.78</v>
      </c>
      <c r="M69">
        <v>19971.419999999998</v>
      </c>
      <c r="N69" t="s">
        <v>199</v>
      </c>
      <c r="O69">
        <v>5</v>
      </c>
      <c r="P69" s="5">
        <v>0.36576218540644884</v>
      </c>
    </row>
    <row r="70" spans="1:16" x14ac:dyDescent="0.35">
      <c r="A70" t="s">
        <v>79</v>
      </c>
      <c r="B70" s="4">
        <v>46173.379746835439</v>
      </c>
      <c r="C70" t="s">
        <v>159</v>
      </c>
      <c r="D70" t="s">
        <v>175</v>
      </c>
      <c r="E70" t="s">
        <v>179</v>
      </c>
      <c r="F70" t="s">
        <v>183</v>
      </c>
      <c r="G70">
        <v>1</v>
      </c>
      <c r="H70">
        <v>1322</v>
      </c>
      <c r="I70">
        <v>10</v>
      </c>
      <c r="J70" t="s">
        <v>189</v>
      </c>
      <c r="K70">
        <v>1189.8</v>
      </c>
      <c r="L70">
        <v>813.58</v>
      </c>
      <c r="M70">
        <v>376.22</v>
      </c>
      <c r="N70" t="s">
        <v>199</v>
      </c>
      <c r="O70">
        <v>5</v>
      </c>
      <c r="P70" s="5">
        <v>0.31620440410152972</v>
      </c>
    </row>
    <row r="71" spans="1:16" x14ac:dyDescent="0.35">
      <c r="A71" t="s">
        <v>80</v>
      </c>
      <c r="B71" s="4">
        <v>46175.658227848093</v>
      </c>
      <c r="C71" t="s">
        <v>160</v>
      </c>
      <c r="D71" t="s">
        <v>175</v>
      </c>
      <c r="E71" t="s">
        <v>179</v>
      </c>
      <c r="F71" t="s">
        <v>180</v>
      </c>
      <c r="G71">
        <v>4</v>
      </c>
      <c r="H71">
        <v>1685</v>
      </c>
      <c r="I71">
        <v>10</v>
      </c>
      <c r="J71" t="s">
        <v>186</v>
      </c>
      <c r="K71">
        <v>6066</v>
      </c>
      <c r="L71">
        <v>4785.92</v>
      </c>
      <c r="M71">
        <v>1280.08</v>
      </c>
      <c r="N71" t="s">
        <v>200</v>
      </c>
      <c r="O71">
        <v>6</v>
      </c>
      <c r="P71" s="5">
        <v>0.21102538740520935</v>
      </c>
    </row>
    <row r="72" spans="1:16" x14ac:dyDescent="0.35">
      <c r="A72" t="s">
        <v>81</v>
      </c>
      <c r="B72" s="4">
        <v>46177.936708860747</v>
      </c>
      <c r="C72" t="s">
        <v>161</v>
      </c>
      <c r="D72" t="s">
        <v>172</v>
      </c>
      <c r="E72" t="s">
        <v>178</v>
      </c>
      <c r="F72" t="s">
        <v>182</v>
      </c>
      <c r="G72">
        <v>3</v>
      </c>
      <c r="H72">
        <v>14425</v>
      </c>
      <c r="I72">
        <v>10</v>
      </c>
      <c r="J72" t="s">
        <v>189</v>
      </c>
      <c r="K72">
        <v>38947.5</v>
      </c>
      <c r="L72">
        <v>24328.73</v>
      </c>
      <c r="M72">
        <v>14618.77</v>
      </c>
      <c r="N72" t="s">
        <v>200</v>
      </c>
      <c r="O72">
        <v>6</v>
      </c>
      <c r="P72" s="5">
        <v>0.3753455292380769</v>
      </c>
    </row>
    <row r="73" spans="1:16" x14ac:dyDescent="0.35">
      <c r="A73" t="s">
        <v>82</v>
      </c>
      <c r="B73" s="4">
        <v>46180.215189873423</v>
      </c>
      <c r="C73" t="s">
        <v>162</v>
      </c>
      <c r="D73" t="s">
        <v>172</v>
      </c>
      <c r="E73" t="s">
        <v>178</v>
      </c>
      <c r="F73" t="s">
        <v>182</v>
      </c>
      <c r="G73">
        <v>1</v>
      </c>
      <c r="H73">
        <v>14087</v>
      </c>
      <c r="I73">
        <v>15</v>
      </c>
      <c r="J73" t="s">
        <v>187</v>
      </c>
      <c r="K73">
        <v>11973.95</v>
      </c>
      <c r="L73">
        <v>9374.33</v>
      </c>
      <c r="M73">
        <v>2599.62</v>
      </c>
      <c r="N73" t="s">
        <v>200</v>
      </c>
      <c r="O73">
        <v>6</v>
      </c>
      <c r="P73" s="5">
        <v>0.21710630159638211</v>
      </c>
    </row>
    <row r="74" spans="1:16" x14ac:dyDescent="0.35">
      <c r="A74" t="s">
        <v>83</v>
      </c>
      <c r="B74" s="4">
        <v>46182.493670886062</v>
      </c>
      <c r="C74" t="s">
        <v>103</v>
      </c>
      <c r="D74" t="s">
        <v>176</v>
      </c>
      <c r="E74" t="s">
        <v>178</v>
      </c>
      <c r="F74" t="s">
        <v>183</v>
      </c>
      <c r="G74">
        <v>4</v>
      </c>
      <c r="H74">
        <v>55462</v>
      </c>
      <c r="I74">
        <v>15</v>
      </c>
      <c r="J74" t="s">
        <v>187</v>
      </c>
      <c r="K74">
        <v>188570.8</v>
      </c>
      <c r="L74">
        <v>127543.81</v>
      </c>
      <c r="M74">
        <v>61026.99</v>
      </c>
      <c r="N74" t="s">
        <v>200</v>
      </c>
      <c r="O74">
        <v>6</v>
      </c>
      <c r="P74" s="5">
        <v>0.32362905603624742</v>
      </c>
    </row>
    <row r="75" spans="1:16" x14ac:dyDescent="0.35">
      <c r="A75" t="s">
        <v>84</v>
      </c>
      <c r="B75" s="4">
        <v>46184.772151898716</v>
      </c>
      <c r="C75" t="s">
        <v>163</v>
      </c>
      <c r="D75" t="s">
        <v>173</v>
      </c>
      <c r="E75" t="s">
        <v>179</v>
      </c>
      <c r="F75" t="s">
        <v>182</v>
      </c>
      <c r="G75">
        <v>4</v>
      </c>
      <c r="H75">
        <v>3438</v>
      </c>
      <c r="I75">
        <v>15</v>
      </c>
      <c r="J75" t="s">
        <v>189</v>
      </c>
      <c r="K75">
        <v>11689.2</v>
      </c>
      <c r="L75">
        <v>7523.55</v>
      </c>
      <c r="M75">
        <v>4165.6499999999996</v>
      </c>
      <c r="N75" t="s">
        <v>200</v>
      </c>
      <c r="O75">
        <v>6</v>
      </c>
      <c r="P75" s="5">
        <v>0.35636741607637812</v>
      </c>
    </row>
    <row r="76" spans="1:16" x14ac:dyDescent="0.35">
      <c r="A76" t="s">
        <v>85</v>
      </c>
      <c r="B76" s="4">
        <v>46187.050632911392</v>
      </c>
      <c r="C76" t="s">
        <v>164</v>
      </c>
      <c r="D76" t="s">
        <v>173</v>
      </c>
      <c r="E76" t="s">
        <v>179</v>
      </c>
      <c r="F76" t="s">
        <v>180</v>
      </c>
      <c r="G76">
        <v>3</v>
      </c>
      <c r="H76">
        <v>2954</v>
      </c>
      <c r="I76">
        <v>0</v>
      </c>
      <c r="J76" t="s">
        <v>185</v>
      </c>
      <c r="K76">
        <v>8862</v>
      </c>
      <c r="L76">
        <v>6729.34</v>
      </c>
      <c r="M76">
        <v>2132.66</v>
      </c>
      <c r="N76" t="s">
        <v>200</v>
      </c>
      <c r="O76">
        <v>6</v>
      </c>
      <c r="P76" s="5">
        <v>0.24065222297449784</v>
      </c>
    </row>
    <row r="77" spans="1:16" x14ac:dyDescent="0.35">
      <c r="A77" t="s">
        <v>86</v>
      </c>
      <c r="B77" s="4">
        <v>46189.329113924039</v>
      </c>
      <c r="C77" t="s">
        <v>165</v>
      </c>
      <c r="D77" t="s">
        <v>175</v>
      </c>
      <c r="E77" t="s">
        <v>179</v>
      </c>
      <c r="F77" t="s">
        <v>183</v>
      </c>
      <c r="G77">
        <v>1</v>
      </c>
      <c r="H77">
        <v>1489</v>
      </c>
      <c r="I77">
        <v>5</v>
      </c>
      <c r="J77" t="s">
        <v>189</v>
      </c>
      <c r="K77">
        <v>1414.55</v>
      </c>
      <c r="L77">
        <v>1054.96</v>
      </c>
      <c r="M77">
        <v>359.59</v>
      </c>
      <c r="N77" t="s">
        <v>200</v>
      </c>
      <c r="O77">
        <v>6</v>
      </c>
      <c r="P77" s="5">
        <v>0.25420805203068114</v>
      </c>
    </row>
    <row r="78" spans="1:16" x14ac:dyDescent="0.35">
      <c r="A78" t="s">
        <v>87</v>
      </c>
      <c r="B78" s="4">
        <v>46191.6075949367</v>
      </c>
      <c r="C78" t="s">
        <v>166</v>
      </c>
      <c r="D78" t="s">
        <v>173</v>
      </c>
      <c r="E78" t="s">
        <v>179</v>
      </c>
      <c r="F78" t="s">
        <v>180</v>
      </c>
      <c r="G78">
        <v>3</v>
      </c>
      <c r="H78">
        <v>3185</v>
      </c>
      <c r="I78">
        <v>15</v>
      </c>
      <c r="J78" t="s">
        <v>185</v>
      </c>
      <c r="K78">
        <v>8121.75</v>
      </c>
      <c r="L78">
        <v>6460.81</v>
      </c>
      <c r="M78">
        <v>1660.94</v>
      </c>
      <c r="N78" t="s">
        <v>200</v>
      </c>
      <c r="O78">
        <v>6</v>
      </c>
      <c r="P78" s="5">
        <v>0.20450518669006065</v>
      </c>
    </row>
    <row r="79" spans="1:16" x14ac:dyDescent="0.35">
      <c r="A79" t="s">
        <v>88</v>
      </c>
      <c r="B79" s="4">
        <v>46193.886075949362</v>
      </c>
      <c r="C79" t="s">
        <v>167</v>
      </c>
      <c r="D79" t="s">
        <v>175</v>
      </c>
      <c r="E79" t="s">
        <v>179</v>
      </c>
      <c r="F79" t="s">
        <v>183</v>
      </c>
      <c r="G79">
        <v>1</v>
      </c>
      <c r="H79">
        <v>1103</v>
      </c>
      <c r="I79">
        <v>5</v>
      </c>
      <c r="J79" t="s">
        <v>186</v>
      </c>
      <c r="K79">
        <v>1047.8499999999999</v>
      </c>
      <c r="L79">
        <v>803.72</v>
      </c>
      <c r="M79">
        <v>244.13</v>
      </c>
      <c r="N79" t="s">
        <v>200</v>
      </c>
      <c r="O79">
        <v>6</v>
      </c>
      <c r="P79" s="5">
        <v>0.23298181991697287</v>
      </c>
    </row>
    <row r="80" spans="1:16" x14ac:dyDescent="0.35">
      <c r="A80" t="s">
        <v>89</v>
      </c>
      <c r="B80" s="4">
        <v>46196.164556962023</v>
      </c>
      <c r="C80" t="s">
        <v>168</v>
      </c>
      <c r="D80" t="s">
        <v>176</v>
      </c>
      <c r="E80" t="s">
        <v>178</v>
      </c>
      <c r="F80" t="s">
        <v>183</v>
      </c>
      <c r="G80">
        <v>5</v>
      </c>
      <c r="H80">
        <v>55192</v>
      </c>
      <c r="I80">
        <v>5</v>
      </c>
      <c r="J80" t="s">
        <v>186</v>
      </c>
      <c r="K80">
        <v>262162</v>
      </c>
      <c r="L80">
        <v>204668.87</v>
      </c>
      <c r="M80">
        <v>57493.13</v>
      </c>
      <c r="N80" t="s">
        <v>200</v>
      </c>
      <c r="O80">
        <v>6</v>
      </c>
      <c r="P80" s="5">
        <v>0.2193038274044293</v>
      </c>
    </row>
    <row r="81" spans="1:16" x14ac:dyDescent="0.35">
      <c r="A81" t="s">
        <v>90</v>
      </c>
      <c r="B81" s="4">
        <v>46198.443037974677</v>
      </c>
      <c r="C81" t="s">
        <v>169</v>
      </c>
      <c r="D81" t="s">
        <v>172</v>
      </c>
      <c r="E81" t="s">
        <v>178</v>
      </c>
      <c r="F81" t="s">
        <v>184</v>
      </c>
      <c r="G81">
        <v>2</v>
      </c>
      <c r="H81">
        <v>14045</v>
      </c>
      <c r="I81">
        <v>10</v>
      </c>
      <c r="J81" t="s">
        <v>186</v>
      </c>
      <c r="K81">
        <v>25281</v>
      </c>
      <c r="L81">
        <v>17100.240000000002</v>
      </c>
      <c r="M81">
        <v>8180.76</v>
      </c>
      <c r="N81" t="s">
        <v>200</v>
      </c>
      <c r="O81">
        <v>6</v>
      </c>
      <c r="P81" s="5">
        <v>0.32359321229381749</v>
      </c>
    </row>
    <row r="82" spans="1:16" x14ac:dyDescent="0.35">
      <c r="A82" t="s">
        <v>91</v>
      </c>
      <c r="B82" s="4">
        <v>46200.721518987339</v>
      </c>
      <c r="C82" t="s">
        <v>170</v>
      </c>
      <c r="D82" t="s">
        <v>172</v>
      </c>
      <c r="E82" t="s">
        <v>178</v>
      </c>
      <c r="F82" t="s">
        <v>180</v>
      </c>
      <c r="G82">
        <v>2</v>
      </c>
      <c r="H82">
        <v>13975</v>
      </c>
      <c r="I82">
        <v>0</v>
      </c>
      <c r="J82" t="s">
        <v>187</v>
      </c>
      <c r="K82">
        <v>27950</v>
      </c>
      <c r="L82">
        <v>18320.89</v>
      </c>
      <c r="M82">
        <v>9629.11</v>
      </c>
      <c r="N82" t="s">
        <v>200</v>
      </c>
      <c r="O82">
        <v>6</v>
      </c>
      <c r="P82" s="5">
        <v>0.34451198568872987</v>
      </c>
    </row>
    <row r="83" spans="1:16" x14ac:dyDescent="0.35">
      <c r="A83" t="s">
        <v>92</v>
      </c>
      <c r="B83" s="4">
        <v>46203</v>
      </c>
      <c r="C83" t="s">
        <v>171</v>
      </c>
      <c r="D83" t="s">
        <v>172</v>
      </c>
      <c r="E83" t="s">
        <v>178</v>
      </c>
      <c r="F83" t="s">
        <v>182</v>
      </c>
      <c r="G83">
        <v>2</v>
      </c>
      <c r="H83">
        <v>13838</v>
      </c>
      <c r="I83">
        <v>15</v>
      </c>
      <c r="J83" t="s">
        <v>186</v>
      </c>
      <c r="K83">
        <v>23524.6</v>
      </c>
      <c r="L83">
        <v>18116.830000000002</v>
      </c>
      <c r="M83">
        <v>5407.77</v>
      </c>
      <c r="N83" t="s">
        <v>200</v>
      </c>
      <c r="O83">
        <v>6</v>
      </c>
      <c r="P83" s="5">
        <v>0.22987723489453596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49891-81C6-4122-AF36-8501B2870AB3}">
  <dimension ref="A3:R114"/>
  <sheetViews>
    <sheetView workbookViewId="0">
      <selection activeCell="J18" sqref="J18"/>
    </sheetView>
  </sheetViews>
  <sheetFormatPr defaultRowHeight="14.5" x14ac:dyDescent="0.35"/>
  <cols>
    <col min="1" max="2" width="12.36328125" bestFit="1" customWidth="1"/>
    <col min="3" max="3" width="11.81640625" customWidth="1"/>
    <col min="4" max="4" width="12.36328125" bestFit="1" customWidth="1"/>
    <col min="5" max="5" width="11.26953125" bestFit="1" customWidth="1"/>
    <col min="6" max="6" width="10.36328125" customWidth="1"/>
    <col min="7" max="7" width="18.453125" customWidth="1"/>
    <col min="8" max="8" width="11.26953125" bestFit="1" customWidth="1"/>
    <col min="9" max="9" width="16.6328125" customWidth="1"/>
    <col min="10" max="10" width="11.26953125" bestFit="1" customWidth="1"/>
    <col min="11" max="11" width="11.81640625" bestFit="1" customWidth="1"/>
    <col min="12" max="12" width="15.26953125" bestFit="1" customWidth="1"/>
    <col min="13" max="13" width="16.36328125" bestFit="1" customWidth="1"/>
    <col min="14" max="14" width="15.26953125" bestFit="1" customWidth="1"/>
    <col min="15" max="15" width="8.453125" customWidth="1"/>
    <col min="16" max="16" width="10.90625" bestFit="1" customWidth="1"/>
    <col min="17" max="17" width="3.7265625" bestFit="1" customWidth="1"/>
    <col min="18" max="18" width="10.7265625" bestFit="1" customWidth="1"/>
    <col min="19" max="19" width="10.81640625" bestFit="1" customWidth="1"/>
  </cols>
  <sheetData>
    <row r="3" spans="1:18" x14ac:dyDescent="0.35">
      <c r="A3" s="6" t="s">
        <v>202</v>
      </c>
      <c r="B3" t="s">
        <v>203</v>
      </c>
      <c r="D3" s="6" t="s">
        <v>202</v>
      </c>
      <c r="E3" t="s">
        <v>205</v>
      </c>
      <c r="G3" s="6" t="s">
        <v>202</v>
      </c>
      <c r="H3" t="s">
        <v>203</v>
      </c>
      <c r="J3" s="6" t="s">
        <v>202</v>
      </c>
      <c r="K3" t="s">
        <v>205</v>
      </c>
      <c r="M3" s="6" t="s">
        <v>207</v>
      </c>
      <c r="N3" s="6" t="s">
        <v>209</v>
      </c>
    </row>
    <row r="4" spans="1:18" x14ac:dyDescent="0.35">
      <c r="A4" s="7" t="s">
        <v>183</v>
      </c>
      <c r="B4" s="11">
        <v>222648.75</v>
      </c>
      <c r="D4" s="7" t="s">
        <v>183</v>
      </c>
      <c r="E4" s="11">
        <v>858555.1</v>
      </c>
      <c r="G4" s="7" t="s">
        <v>189</v>
      </c>
      <c r="H4">
        <v>82088.799999999988</v>
      </c>
      <c r="J4" s="7" t="s">
        <v>189</v>
      </c>
      <c r="K4" s="11">
        <v>281023.8</v>
      </c>
      <c r="M4" s="6" t="s">
        <v>202</v>
      </c>
      <c r="N4" t="s">
        <v>189</v>
      </c>
      <c r="O4" t="s">
        <v>185</v>
      </c>
      <c r="P4" t="s">
        <v>187</v>
      </c>
      <c r="Q4" t="s">
        <v>186</v>
      </c>
      <c r="R4" t="s">
        <v>204</v>
      </c>
    </row>
    <row r="5" spans="1:18" x14ac:dyDescent="0.35">
      <c r="A5" s="7" t="s">
        <v>184</v>
      </c>
      <c r="B5" s="11">
        <v>198690.15999999997</v>
      </c>
      <c r="D5" s="7" t="s">
        <v>182</v>
      </c>
      <c r="E5" s="11">
        <v>650732.74999999977</v>
      </c>
      <c r="G5" s="7" t="s">
        <v>185</v>
      </c>
      <c r="H5">
        <v>177338.34999999998</v>
      </c>
      <c r="J5" s="7" t="s">
        <v>185</v>
      </c>
      <c r="K5" s="11">
        <v>549002.25</v>
      </c>
      <c r="M5" s="7" t="s">
        <v>195</v>
      </c>
      <c r="N5">
        <v>2</v>
      </c>
      <c r="O5">
        <v>5</v>
      </c>
      <c r="P5">
        <v>3</v>
      </c>
      <c r="Q5">
        <v>4</v>
      </c>
      <c r="R5">
        <v>14</v>
      </c>
    </row>
    <row r="6" spans="1:18" x14ac:dyDescent="0.35">
      <c r="A6" s="7" t="s">
        <v>182</v>
      </c>
      <c r="B6" s="11">
        <v>195442.47999999992</v>
      </c>
      <c r="D6" s="7" t="s">
        <v>184</v>
      </c>
      <c r="E6" s="11">
        <v>622693.85</v>
      </c>
      <c r="G6" s="7" t="s">
        <v>187</v>
      </c>
      <c r="H6">
        <v>303685.07</v>
      </c>
      <c r="J6" s="7" t="s">
        <v>186</v>
      </c>
      <c r="K6" s="11">
        <v>859083.49999999988</v>
      </c>
      <c r="M6" s="7" t="s">
        <v>196</v>
      </c>
      <c r="N6">
        <v>4</v>
      </c>
      <c r="P6">
        <v>5</v>
      </c>
      <c r="Q6">
        <v>3</v>
      </c>
      <c r="R6">
        <v>12</v>
      </c>
    </row>
    <row r="7" spans="1:18" x14ac:dyDescent="0.35">
      <c r="A7" s="7" t="s">
        <v>180</v>
      </c>
      <c r="B7" s="11">
        <v>162816.98000000004</v>
      </c>
      <c r="D7" s="7" t="s">
        <v>180</v>
      </c>
      <c r="E7" s="11">
        <v>496216.65</v>
      </c>
      <c r="G7" s="7" t="s">
        <v>186</v>
      </c>
      <c r="H7">
        <v>216891.3</v>
      </c>
      <c r="J7" s="7" t="s">
        <v>187</v>
      </c>
      <c r="K7" s="11">
        <v>940255</v>
      </c>
      <c r="M7" s="7" t="s">
        <v>197</v>
      </c>
      <c r="N7">
        <v>4</v>
      </c>
      <c r="O7">
        <v>4</v>
      </c>
      <c r="P7">
        <v>2</v>
      </c>
      <c r="Q7">
        <v>4</v>
      </c>
      <c r="R7">
        <v>14</v>
      </c>
    </row>
    <row r="8" spans="1:18" x14ac:dyDescent="0.35">
      <c r="A8" s="7" t="s">
        <v>201</v>
      </c>
      <c r="B8" s="11">
        <v>405.15</v>
      </c>
      <c r="D8" s="7" t="s">
        <v>201</v>
      </c>
      <c r="E8" s="11">
        <v>1166.2</v>
      </c>
      <c r="G8" s="7" t="s">
        <v>204</v>
      </c>
      <c r="H8">
        <v>780003.52</v>
      </c>
      <c r="J8" s="7" t="s">
        <v>204</v>
      </c>
      <c r="K8" s="11">
        <v>2629364.5499999998</v>
      </c>
      <c r="M8" s="7" t="s">
        <v>198</v>
      </c>
      <c r="N8">
        <v>2</v>
      </c>
      <c r="O8">
        <v>3</v>
      </c>
      <c r="P8">
        <v>2</v>
      </c>
      <c r="Q8">
        <v>6</v>
      </c>
      <c r="R8">
        <v>13</v>
      </c>
    </row>
    <row r="9" spans="1:18" x14ac:dyDescent="0.35">
      <c r="A9" s="7" t="s">
        <v>204</v>
      </c>
      <c r="B9" s="11">
        <v>780003.5199999999</v>
      </c>
      <c r="D9" s="7" t="s">
        <v>204</v>
      </c>
      <c r="E9" s="11">
        <v>2629364.5499999998</v>
      </c>
      <c r="M9" s="7" t="s">
        <v>199</v>
      </c>
      <c r="N9">
        <v>4</v>
      </c>
      <c r="O9">
        <v>3</v>
      </c>
      <c r="P9">
        <v>5</v>
      </c>
      <c r="Q9">
        <v>2</v>
      </c>
      <c r="R9">
        <v>14</v>
      </c>
    </row>
    <row r="10" spans="1:18" x14ac:dyDescent="0.35">
      <c r="M10" s="7" t="s">
        <v>200</v>
      </c>
      <c r="N10">
        <v>3</v>
      </c>
      <c r="O10">
        <v>2</v>
      </c>
      <c r="P10">
        <v>3</v>
      </c>
      <c r="Q10">
        <v>5</v>
      </c>
      <c r="R10">
        <v>13</v>
      </c>
    </row>
    <row r="11" spans="1:18" x14ac:dyDescent="0.35">
      <c r="M11" s="7" t="s">
        <v>204</v>
      </c>
      <c r="N11">
        <v>19</v>
      </c>
      <c r="O11">
        <v>17</v>
      </c>
      <c r="P11">
        <v>20</v>
      </c>
      <c r="Q11">
        <v>24</v>
      </c>
      <c r="R11">
        <v>80</v>
      </c>
    </row>
    <row r="12" spans="1:18" x14ac:dyDescent="0.35">
      <c r="A12" s="6" t="s">
        <v>202</v>
      </c>
      <c r="B12" t="s">
        <v>206</v>
      </c>
      <c r="C12" t="s">
        <v>205</v>
      </c>
      <c r="D12" t="s">
        <v>207</v>
      </c>
      <c r="F12" s="6" t="s">
        <v>202</v>
      </c>
      <c r="G12" t="s">
        <v>208</v>
      </c>
      <c r="H12" t="s">
        <v>205</v>
      </c>
      <c r="I12" t="s">
        <v>207</v>
      </c>
    </row>
    <row r="13" spans="1:18" x14ac:dyDescent="0.35">
      <c r="A13" s="7" t="s">
        <v>182</v>
      </c>
      <c r="B13">
        <v>455290.26999999996</v>
      </c>
      <c r="C13">
        <v>650732.74999999977</v>
      </c>
      <c r="D13">
        <v>27</v>
      </c>
      <c r="F13" s="7" t="s">
        <v>189</v>
      </c>
      <c r="G13" s="5">
        <v>0.29572258483746738</v>
      </c>
      <c r="H13">
        <v>281023.8</v>
      </c>
      <c r="I13">
        <v>19</v>
      </c>
    </row>
    <row r="14" spans="1:18" x14ac:dyDescent="0.35">
      <c r="A14" s="7" t="s">
        <v>180</v>
      </c>
      <c r="B14">
        <v>333399.67000000004</v>
      </c>
      <c r="C14">
        <v>496216.65</v>
      </c>
      <c r="D14">
        <v>24</v>
      </c>
      <c r="F14" s="7" t="s">
        <v>185</v>
      </c>
      <c r="G14" s="5">
        <v>0.30151276551951112</v>
      </c>
      <c r="H14">
        <v>549002.25</v>
      </c>
      <c r="I14">
        <v>17</v>
      </c>
    </row>
    <row r="15" spans="1:18" x14ac:dyDescent="0.35">
      <c r="A15" s="7" t="s">
        <v>184</v>
      </c>
      <c r="B15">
        <v>424003.68999999994</v>
      </c>
      <c r="C15">
        <v>622693.85</v>
      </c>
      <c r="D15">
        <v>11</v>
      </c>
      <c r="F15" s="7" t="s">
        <v>187</v>
      </c>
      <c r="G15" s="5">
        <v>0.30292335302170298</v>
      </c>
      <c r="H15">
        <v>940255</v>
      </c>
      <c r="I15">
        <v>20</v>
      </c>
    </row>
    <row r="16" spans="1:18" x14ac:dyDescent="0.35">
      <c r="A16" s="7" t="s">
        <v>201</v>
      </c>
      <c r="B16">
        <v>761.05</v>
      </c>
      <c r="C16">
        <v>1166.2</v>
      </c>
      <c r="D16">
        <v>1</v>
      </c>
      <c r="F16" s="7" t="s">
        <v>186</v>
      </c>
      <c r="G16" s="5">
        <v>0.26158995010371</v>
      </c>
      <c r="H16">
        <v>859083.49999999988</v>
      </c>
      <c r="I16">
        <v>24</v>
      </c>
    </row>
    <row r="17" spans="1:11" x14ac:dyDescent="0.35">
      <c r="A17" s="7" t="s">
        <v>183</v>
      </c>
      <c r="B17">
        <v>635906.35</v>
      </c>
      <c r="C17">
        <v>858555.1</v>
      </c>
      <c r="D17">
        <v>17</v>
      </c>
      <c r="F17" s="7" t="s">
        <v>204</v>
      </c>
      <c r="G17" s="5">
        <v>0.2885133998583333</v>
      </c>
      <c r="H17">
        <v>2629364.5499999998</v>
      </c>
      <c r="I17">
        <v>80</v>
      </c>
    </row>
    <row r="18" spans="1:11" x14ac:dyDescent="0.35">
      <c r="A18" s="7" t="s">
        <v>204</v>
      </c>
      <c r="B18">
        <v>1849361.0300000003</v>
      </c>
      <c r="C18">
        <v>2629364.5499999984</v>
      </c>
      <c r="D18">
        <v>80</v>
      </c>
    </row>
    <row r="21" spans="1:11" x14ac:dyDescent="0.35">
      <c r="I21" s="6" t="s">
        <v>202</v>
      </c>
      <c r="J21" t="s">
        <v>205</v>
      </c>
      <c r="K21" t="s">
        <v>203</v>
      </c>
    </row>
    <row r="22" spans="1:11" x14ac:dyDescent="0.35">
      <c r="I22" s="7" t="s">
        <v>179</v>
      </c>
      <c r="J22" s="11">
        <v>237219.50000000006</v>
      </c>
      <c r="K22" s="11">
        <v>68550.87</v>
      </c>
    </row>
    <row r="23" spans="1:11" x14ac:dyDescent="0.35">
      <c r="I23" s="7" t="s">
        <v>178</v>
      </c>
      <c r="J23" s="11">
        <v>2392145.0500000003</v>
      </c>
      <c r="K23" s="11">
        <v>711452.65000000026</v>
      </c>
    </row>
    <row r="24" spans="1:11" x14ac:dyDescent="0.35">
      <c r="I24" s="7" t="s">
        <v>204</v>
      </c>
      <c r="J24" s="11">
        <v>2629364.5500000003</v>
      </c>
      <c r="K24" s="11">
        <v>780003.52000000025</v>
      </c>
    </row>
    <row r="33" spans="2:4" x14ac:dyDescent="0.35">
      <c r="B33" s="6" t="s">
        <v>202</v>
      </c>
    </row>
    <row r="34" spans="2:4" x14ac:dyDescent="0.35">
      <c r="B34" s="9">
        <v>46023</v>
      </c>
      <c r="D34" s="10">
        <f>MAX(B34)</f>
        <v>46023</v>
      </c>
    </row>
    <row r="35" spans="2:4" x14ac:dyDescent="0.35">
      <c r="B35" s="9">
        <v>46025.278483796297</v>
      </c>
    </row>
    <row r="36" spans="2:4" x14ac:dyDescent="0.35">
      <c r="B36" s="9">
        <v>46027.556967592594</v>
      </c>
    </row>
    <row r="37" spans="2:4" x14ac:dyDescent="0.35">
      <c r="B37" s="9">
        <v>46029.835439814815</v>
      </c>
    </row>
    <row r="38" spans="2:4" x14ac:dyDescent="0.35">
      <c r="B38" s="9">
        <v>46032.113923611112</v>
      </c>
    </row>
    <row r="39" spans="2:4" x14ac:dyDescent="0.35">
      <c r="B39" s="9">
        <v>46034.392407407409</v>
      </c>
    </row>
    <row r="40" spans="2:4" x14ac:dyDescent="0.35">
      <c r="B40" s="9">
        <v>46036.670891203707</v>
      </c>
    </row>
    <row r="41" spans="2:4" x14ac:dyDescent="0.35">
      <c r="B41" s="9">
        <v>46038.949363425927</v>
      </c>
    </row>
    <row r="42" spans="2:4" x14ac:dyDescent="0.35">
      <c r="B42" s="9">
        <v>46041.227847222224</v>
      </c>
    </row>
    <row r="43" spans="2:4" x14ac:dyDescent="0.35">
      <c r="B43" s="9">
        <v>46043.506331018521</v>
      </c>
    </row>
    <row r="44" spans="2:4" x14ac:dyDescent="0.35">
      <c r="B44" s="9">
        <v>46045.784814814811</v>
      </c>
    </row>
    <row r="45" spans="2:4" x14ac:dyDescent="0.35">
      <c r="B45" s="9">
        <v>46048.063287037039</v>
      </c>
    </row>
    <row r="46" spans="2:4" x14ac:dyDescent="0.35">
      <c r="B46" s="9">
        <v>46050.341770833336</v>
      </c>
    </row>
    <row r="47" spans="2:4" x14ac:dyDescent="0.35">
      <c r="B47" s="9">
        <v>46052.620254629626</v>
      </c>
    </row>
    <row r="48" spans="2:4" x14ac:dyDescent="0.35">
      <c r="B48" s="9">
        <v>46054.898738425924</v>
      </c>
    </row>
    <row r="49" spans="2:2" x14ac:dyDescent="0.35">
      <c r="B49" s="9">
        <v>46059.455694444441</v>
      </c>
    </row>
    <row r="50" spans="2:2" x14ac:dyDescent="0.35">
      <c r="B50" s="9">
        <v>46061.734178240738</v>
      </c>
    </row>
    <row r="51" spans="2:2" x14ac:dyDescent="0.35">
      <c r="B51" s="9">
        <v>46064.012662037036</v>
      </c>
    </row>
    <row r="52" spans="2:2" x14ac:dyDescent="0.35">
      <c r="B52" s="9">
        <v>46066.291134259256</v>
      </c>
    </row>
    <row r="53" spans="2:2" x14ac:dyDescent="0.35">
      <c r="B53" s="9">
        <v>46068.569618055553</v>
      </c>
    </row>
    <row r="54" spans="2:2" x14ac:dyDescent="0.35">
      <c r="B54" s="9">
        <v>46070.848101851851</v>
      </c>
    </row>
    <row r="55" spans="2:2" x14ac:dyDescent="0.35">
      <c r="B55" s="9">
        <v>46073.126585648148</v>
      </c>
    </row>
    <row r="56" spans="2:2" x14ac:dyDescent="0.35">
      <c r="B56" s="9">
        <v>46075.405057870368</v>
      </c>
    </row>
    <row r="57" spans="2:2" x14ac:dyDescent="0.35">
      <c r="B57" s="9">
        <v>46077.683541666665</v>
      </c>
    </row>
    <row r="58" spans="2:2" x14ac:dyDescent="0.35">
      <c r="B58" s="9">
        <v>46079.962025462963</v>
      </c>
    </row>
    <row r="59" spans="2:2" x14ac:dyDescent="0.35">
      <c r="B59" s="9">
        <v>46082.24050925926</v>
      </c>
    </row>
    <row r="60" spans="2:2" x14ac:dyDescent="0.35">
      <c r="B60" s="9">
        <v>46086.797465277778</v>
      </c>
    </row>
    <row r="61" spans="2:2" x14ac:dyDescent="0.35">
      <c r="B61" s="9">
        <v>46089.075949074075</v>
      </c>
    </row>
    <row r="62" spans="2:2" x14ac:dyDescent="0.35">
      <c r="B62" s="9">
        <v>46091.354432870372</v>
      </c>
    </row>
    <row r="63" spans="2:2" x14ac:dyDescent="0.35">
      <c r="B63" s="9">
        <v>46093.632916666669</v>
      </c>
    </row>
    <row r="64" spans="2:2" x14ac:dyDescent="0.35">
      <c r="B64" s="9">
        <v>46095.91138888889</v>
      </c>
    </row>
    <row r="65" spans="2:2" x14ac:dyDescent="0.35">
      <c r="B65" s="9">
        <v>46098.189872685187</v>
      </c>
    </row>
    <row r="66" spans="2:2" x14ac:dyDescent="0.35">
      <c r="B66" s="9">
        <v>46100.468356481484</v>
      </c>
    </row>
    <row r="67" spans="2:2" x14ac:dyDescent="0.35">
      <c r="B67" s="9">
        <v>46102.746840277781</v>
      </c>
    </row>
    <row r="68" spans="2:2" x14ac:dyDescent="0.35">
      <c r="B68" s="9">
        <v>46105.025312500002</v>
      </c>
    </row>
    <row r="69" spans="2:2" x14ac:dyDescent="0.35">
      <c r="B69" s="9">
        <v>46107.303796296299</v>
      </c>
    </row>
    <row r="70" spans="2:2" x14ac:dyDescent="0.35">
      <c r="B70" s="9">
        <v>46109.582280092596</v>
      </c>
    </row>
    <row r="71" spans="2:2" x14ac:dyDescent="0.35">
      <c r="B71" s="9">
        <v>46111.860763888886</v>
      </c>
    </row>
    <row r="72" spans="2:2" x14ac:dyDescent="0.35">
      <c r="B72" s="9">
        <v>46114.139236111114</v>
      </c>
    </row>
    <row r="73" spans="2:2" x14ac:dyDescent="0.35">
      <c r="B73" s="9">
        <v>46116.417719907404</v>
      </c>
    </row>
    <row r="74" spans="2:2" x14ac:dyDescent="0.35">
      <c r="B74" s="9">
        <v>46118.696203703701</v>
      </c>
    </row>
    <row r="75" spans="2:2" x14ac:dyDescent="0.35">
      <c r="B75" s="9">
        <v>46120.974687499998</v>
      </c>
    </row>
    <row r="76" spans="2:2" x14ac:dyDescent="0.35">
      <c r="B76" s="9">
        <v>46123.253159722219</v>
      </c>
    </row>
    <row r="77" spans="2:2" x14ac:dyDescent="0.35">
      <c r="B77" s="9">
        <v>46125.531643518516</v>
      </c>
    </row>
    <row r="78" spans="2:2" x14ac:dyDescent="0.35">
      <c r="B78" s="9">
        <v>46127.810127314813</v>
      </c>
    </row>
    <row r="79" spans="2:2" x14ac:dyDescent="0.35">
      <c r="B79" s="9">
        <v>46130.08861111111</v>
      </c>
    </row>
    <row r="80" spans="2:2" x14ac:dyDescent="0.35">
      <c r="B80" s="9">
        <v>46132.367083333331</v>
      </c>
    </row>
    <row r="81" spans="2:2" x14ac:dyDescent="0.35">
      <c r="B81" s="9">
        <v>46134.645567129628</v>
      </c>
    </row>
    <row r="82" spans="2:2" x14ac:dyDescent="0.35">
      <c r="B82" s="9">
        <v>46136.924050925925</v>
      </c>
    </row>
    <row r="83" spans="2:2" x14ac:dyDescent="0.35">
      <c r="B83" s="9">
        <v>46139.202534722222</v>
      </c>
    </row>
    <row r="84" spans="2:2" x14ac:dyDescent="0.35">
      <c r="B84" s="9">
        <v>46141.481006944443</v>
      </c>
    </row>
    <row r="85" spans="2:2" x14ac:dyDescent="0.35">
      <c r="B85" s="9">
        <v>46143.75949074074</v>
      </c>
    </row>
    <row r="86" spans="2:2" x14ac:dyDescent="0.35">
      <c r="B86" s="9">
        <v>46146.037974537037</v>
      </c>
    </row>
    <row r="87" spans="2:2" x14ac:dyDescent="0.35">
      <c r="B87" s="9">
        <v>46148.316458333335</v>
      </c>
    </row>
    <row r="88" spans="2:2" x14ac:dyDescent="0.35">
      <c r="B88" s="9">
        <v>46150.594942129632</v>
      </c>
    </row>
    <row r="89" spans="2:2" x14ac:dyDescent="0.35">
      <c r="B89" s="9">
        <v>46152.873414351852</v>
      </c>
    </row>
    <row r="90" spans="2:2" x14ac:dyDescent="0.35">
      <c r="B90" s="9">
        <v>46155.151898148149</v>
      </c>
    </row>
    <row r="91" spans="2:2" x14ac:dyDescent="0.35">
      <c r="B91" s="9">
        <v>46157.430381944447</v>
      </c>
    </row>
    <row r="92" spans="2:2" x14ac:dyDescent="0.35">
      <c r="B92" s="9">
        <v>46159.708865740744</v>
      </c>
    </row>
    <row r="93" spans="2:2" x14ac:dyDescent="0.35">
      <c r="B93" s="9">
        <v>46161.987337962964</v>
      </c>
    </row>
    <row r="94" spans="2:2" x14ac:dyDescent="0.35">
      <c r="B94" s="9">
        <v>46164.265821759262</v>
      </c>
    </row>
    <row r="95" spans="2:2" x14ac:dyDescent="0.35">
      <c r="B95" s="9">
        <v>46166.544305555559</v>
      </c>
    </row>
    <row r="96" spans="2:2" x14ac:dyDescent="0.35">
      <c r="B96" s="9">
        <v>46168.822789351849</v>
      </c>
    </row>
    <row r="97" spans="2:2" x14ac:dyDescent="0.35">
      <c r="B97" s="9">
        <v>46171.101261574076</v>
      </c>
    </row>
    <row r="98" spans="2:2" x14ac:dyDescent="0.35">
      <c r="B98" s="9">
        <v>46173.379745370374</v>
      </c>
    </row>
    <row r="99" spans="2:2" x14ac:dyDescent="0.35">
      <c r="B99" s="9">
        <v>46175.658229166664</v>
      </c>
    </row>
    <row r="100" spans="2:2" x14ac:dyDescent="0.35">
      <c r="B100" s="9">
        <v>46177.936712962961</v>
      </c>
    </row>
    <row r="101" spans="2:2" x14ac:dyDescent="0.35">
      <c r="B101" s="9">
        <v>46180.215185185189</v>
      </c>
    </row>
    <row r="102" spans="2:2" x14ac:dyDescent="0.35">
      <c r="B102" s="9">
        <v>46182.493668981479</v>
      </c>
    </row>
    <row r="103" spans="2:2" x14ac:dyDescent="0.35">
      <c r="B103" s="9">
        <v>46184.772152777776</v>
      </c>
    </row>
    <row r="104" spans="2:2" x14ac:dyDescent="0.35">
      <c r="B104" s="9">
        <v>46187.050636574073</v>
      </c>
    </row>
    <row r="105" spans="2:2" x14ac:dyDescent="0.35">
      <c r="B105" s="9">
        <v>46189.329108796293</v>
      </c>
    </row>
    <row r="106" spans="2:2" x14ac:dyDescent="0.35">
      <c r="B106" s="9">
        <v>46191.607592592591</v>
      </c>
    </row>
    <row r="107" spans="2:2" x14ac:dyDescent="0.35">
      <c r="B107" s="9">
        <v>46193.886076388888</v>
      </c>
    </row>
    <row r="108" spans="2:2" x14ac:dyDescent="0.35">
      <c r="B108" s="9">
        <v>46196.164560185185</v>
      </c>
    </row>
    <row r="109" spans="2:2" x14ac:dyDescent="0.35">
      <c r="B109" s="9">
        <v>46198.443032407406</v>
      </c>
    </row>
    <row r="110" spans="2:2" x14ac:dyDescent="0.35">
      <c r="B110" s="9">
        <v>46200.721516203703</v>
      </c>
    </row>
    <row r="111" spans="2:2" x14ac:dyDescent="0.35">
      <c r="B111" s="9">
        <v>46203</v>
      </c>
    </row>
    <row r="112" spans="2:2" x14ac:dyDescent="0.35">
      <c r="B112" s="9">
        <v>46057.177210648151</v>
      </c>
    </row>
    <row r="113" spans="2:2" x14ac:dyDescent="0.35">
      <c r="B113" s="9">
        <v>46084.518993055557</v>
      </c>
    </row>
    <row r="114" spans="2:2" x14ac:dyDescent="0.35">
      <c r="B114" s="9" t="s">
        <v>204</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D61F-B991-4AA3-A5B9-A32D452355CF}">
  <dimension ref="A1"/>
  <sheetViews>
    <sheetView showGridLines="0" tabSelected="1" zoomScale="70" zoomScaleNormal="7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vt:lpstr>
      <vt:lpstr>Row Data</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Muhammed Danish</cp:lastModifiedBy>
  <dcterms:created xsi:type="dcterms:W3CDTF">2026-09-18T00:21:58Z</dcterms:created>
  <dcterms:modified xsi:type="dcterms:W3CDTF">2026-09-23T04:49:44Z</dcterms:modified>
</cp:coreProperties>
</file>